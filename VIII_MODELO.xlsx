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1" autoFilterDateGrouping="1"/>
  </bookViews>
  <sheets>
    <sheet xmlns:r="http://schemas.openxmlformats.org/officeDocument/2006/relationships" name="Cadastro Geral Campistas" sheetId="1" state="visible" r:id="rId1"/>
    <sheet xmlns:r="http://schemas.openxmlformats.org/officeDocument/2006/relationships" name="Relatorio Familia Provas" sheetId="2" state="visible" r:id="rId2"/>
    <sheet xmlns:r="http://schemas.openxmlformats.org/officeDocument/2006/relationships" name="Relatorio Chamada Onibus" sheetId="3" state="visible" r:id="rId3"/>
    <sheet xmlns:r="http://schemas.openxmlformats.org/officeDocument/2006/relationships" name="Lista Praca" sheetId="4" state="visible" r:id="rId4"/>
    <sheet xmlns:r="http://schemas.openxmlformats.org/officeDocument/2006/relationships" name="CONFLITO CONHECIDOS" sheetId="5" state="visible" r:id="rId5"/>
  </sheets>
  <definedNames>
    <definedName name="_xlnm.Print_Area" localSheetId="1">'Relatorio Familia Provas'!$A$1:$J$315</definedName>
    <definedName name="_xlnm.Print_Titles" localSheetId="3">'Lista Praca'!$1:$2</definedName>
    <definedName name="_xlnm.Print_Area" localSheetId="4">'CONFLITO CONHECIDOS'!$A$1:$G$66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8B4513"/>
      <sz val="10"/>
    </font>
    <font>
      <name val="Arial"/>
      <b val="1"/>
      <color rgb="FF000000"/>
      <sz val="10"/>
    </font>
    <font>
      <name val="Arial"/>
      <b val="1"/>
      <color rgb="FFC00000"/>
      <sz val="10"/>
    </font>
    <font>
      <name val="Arial"/>
      <b val="1"/>
      <i val="1"/>
      <color rgb="FF000000"/>
      <sz val="13"/>
    </font>
    <font>
      <name val="Arial"/>
      <b val="1"/>
      <i val="1"/>
      <color rgb="FF000000"/>
      <sz val="16"/>
    </font>
    <font>
      <name val="Arial"/>
      <b val="1"/>
      <sz val="11"/>
    </font>
    <font>
      <name val="Arial"/>
      <b val="1"/>
      <color rgb="FF1F4E79"/>
      <sz val="11"/>
    </font>
    <font>
      <name val="Arial"/>
      <color rgb="FF8B4513"/>
      <sz val="10"/>
    </font>
    <font>
      <name val="Arial"/>
      <b val="1"/>
      <i val="1"/>
      <color rgb="FFFFFFFF"/>
      <sz val="13"/>
    </font>
    <font>
      <name val="Arial"/>
      <b val="1"/>
      <i val="1"/>
      <color rgb="FFFFFFFF"/>
      <sz val="16"/>
    </font>
    <font>
      <name val="Arial"/>
      <b val="1"/>
      <color rgb="FFFFFFFF"/>
      <sz val="11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b val="1"/>
      <color theme="0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rgb="FF000000"/>
      <sz val="13"/>
    </font>
    <font>
      <name val="Arial"/>
      <b val="1"/>
      <color rgb="FF1A1208"/>
      <sz val="11"/>
    </font>
    <font>
      <name val="Arial"/>
      <b val="1"/>
      <color rgb="FFFFFFFF"/>
      <sz val="13"/>
    </font>
    <font>
      <name val="Arial"/>
      <b val="1"/>
      <color rgb="FF1F4E79"/>
      <sz val="10"/>
    </font>
    <font>
      <name val="Arial"/>
      <sz val="10"/>
    </font>
    <font>
      <name val="Arial"/>
      <b val="1"/>
      <sz val="10"/>
    </font>
    <font>
      <name val="Arial"/>
      <b val="1"/>
      <color rgb="FF1F6B2E"/>
      <sz val="10"/>
    </font>
    <font>
      <name val="Arial"/>
      <color rgb="FF000000"/>
      <sz val="11"/>
    </font>
    <font>
      <name val="Arial"/>
      <sz val="11"/>
    </font>
    <font>
      <name val="Arial"/>
      <b val="1"/>
      <color rgb="FF1F6B2E"/>
      <sz val="11"/>
    </font>
  </fonts>
  <fills count="3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0CC"/>
      </patternFill>
    </fill>
    <fill>
      <patternFill patternType="solid">
        <fgColor rgb="FFFF6600"/>
      </patternFill>
    </fill>
    <fill>
      <patternFill patternType="solid">
        <fgColor rgb="FFFFFFFF"/>
      </patternFill>
    </fill>
    <fill>
      <patternFill patternType="solid">
        <fgColor rgb="FF888888"/>
      </patternFill>
    </fill>
    <fill>
      <patternFill patternType="solid">
        <fgColor rgb="FFBFBFBF"/>
      </patternFill>
    </fill>
    <fill>
      <patternFill patternType="solid">
        <fgColor rgb="FF00B050"/>
      </patternFill>
    </fill>
    <fill>
      <patternFill patternType="solid">
        <fgColor rgb="FFDCE6F1"/>
      </patternFill>
    </fill>
    <fill>
      <patternFill patternType="solid">
        <fgColor rgb="FFFF99CC"/>
      </patternFill>
    </fill>
    <fill>
      <patternFill patternType="solid">
        <fgColor rgb="FFFF4444"/>
      </patternFill>
    </fill>
    <fill>
      <patternFill patternType="solid">
        <fgColor rgb="FF0070C0"/>
      </patternFill>
    </fill>
    <fill>
      <patternFill patternType="solid">
        <fgColor rgb="FF8B4513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E8E8"/>
      </patternFill>
    </fill>
    <fill>
      <patternFill patternType="solid">
        <fgColor rgb="FFFFE5CC"/>
      </patternFill>
    </fill>
    <fill>
      <patternFill patternType="solid">
        <fgColor rgb="FFFFD6EC"/>
      </patternFill>
    </fill>
    <fill>
      <patternFill patternType="solid">
        <fgColor rgb="FFDAEEF3"/>
      </patternFill>
    </fill>
    <fill>
      <patternFill patternType="solid">
        <fgColor rgb="FFEAF6E2"/>
      </patternFill>
    </fill>
    <fill>
      <patternFill patternType="solid">
        <fgColor rgb="FFF5E6DA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theme="1"/>
        <bgColor indexed="64"/>
      </patternFill>
    </fill>
    <fill>
      <patternFill patternType="solid">
        <fgColor rgb="FFFF0000"/>
      </patternFill>
    </fill>
    <fill>
      <patternFill patternType="solid">
        <fgColor rgb="FF808080"/>
      </patternFill>
    </fill>
    <fill>
      <patternFill patternType="solid">
        <fgColor rgb="FFE8F4FF"/>
      </patternFill>
    </fill>
    <fill>
      <patternFill patternType="solid">
        <fgColor rgb="FF000000"/>
      </patternFill>
    </fill>
    <fill>
      <patternFill patternType="solid">
        <fgColor rgb="FF333333"/>
      </patternFill>
    </fill>
    <fill>
      <patternFill patternType="solid">
        <fgColor rgb="FFD9D9D9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 style="medium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9" pivotButton="0" quotePrefix="0" xfId="0"/>
    <xf numFmtId="0" fontId="0" fillId="0" borderId="10" pivotButton="0" quotePrefix="0" xfId="0"/>
    <xf numFmtId="0" fontId="4" fillId="14" borderId="13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9" fillId="5" borderId="13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9" fillId="15" borderId="13" applyAlignment="1" pivotButton="0" quotePrefix="0" xfId="0">
      <alignment horizontal="center" vertical="center"/>
    </xf>
    <xf numFmtId="0" fontId="2" fillId="15" borderId="14" applyAlignment="1" pivotButton="0" quotePrefix="0" xfId="0">
      <alignment horizontal="center" vertical="center"/>
    </xf>
    <xf numFmtId="0" fontId="4" fillId="16" borderId="13" applyAlignment="1" pivotButton="0" quotePrefix="0" xfId="0">
      <alignment horizontal="left" vertical="center"/>
    </xf>
    <xf numFmtId="0" fontId="2" fillId="0" borderId="17" pivotButton="0" quotePrefix="0" xfId="0"/>
    <xf numFmtId="0" fontId="1" fillId="11" borderId="13" applyAlignment="1" pivotButton="0" quotePrefix="0" xfId="0">
      <alignment horizontal="center" vertical="center"/>
    </xf>
    <xf numFmtId="0" fontId="1" fillId="11" borderId="14" applyAlignment="1" pivotButton="0" quotePrefix="0" xfId="0">
      <alignment horizontal="center" vertical="center"/>
    </xf>
    <xf numFmtId="0" fontId="9" fillId="17" borderId="13" applyAlignment="1" pivotButton="0" quotePrefix="0" xfId="0">
      <alignment horizontal="center" vertical="center"/>
    </xf>
    <xf numFmtId="0" fontId="2" fillId="17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2" pivotButton="0" quotePrefix="0" xfId="0"/>
    <xf numFmtId="0" fontId="1" fillId="4" borderId="13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9" fillId="18" borderId="13" applyAlignment="1" pivotButton="0" quotePrefix="0" xfId="0">
      <alignment horizontal="center" vertical="center"/>
    </xf>
    <xf numFmtId="0" fontId="2" fillId="18" borderId="14" applyAlignment="1" pivotButton="0" quotePrefix="0" xfId="0">
      <alignment horizontal="center" vertical="center"/>
    </xf>
    <xf numFmtId="0" fontId="4" fillId="10" borderId="13" applyAlignment="1" pivotButton="0" quotePrefix="0" xfId="0">
      <alignment horizontal="center" vertical="center"/>
    </xf>
    <xf numFmtId="0" fontId="4" fillId="10" borderId="14" applyAlignment="1" pivotButton="0" quotePrefix="0" xfId="0">
      <alignment horizontal="center" vertical="center"/>
    </xf>
    <xf numFmtId="0" fontId="9" fillId="19" borderId="13" applyAlignment="1" pivotButton="0" quotePrefix="0" xfId="0">
      <alignment horizontal="center" vertical="center"/>
    </xf>
    <xf numFmtId="0" fontId="2" fillId="19" borderId="14" applyAlignment="1" pivotButton="0" quotePrefix="0" xfId="0">
      <alignment horizontal="center" vertical="center"/>
    </xf>
    <xf numFmtId="0" fontId="0" fillId="0" borderId="9" pivotButton="0" quotePrefix="0" xfId="0"/>
    <xf numFmtId="0" fontId="1" fillId="12" borderId="13" applyAlignment="1" pivotButton="0" quotePrefix="0" xfId="0">
      <alignment horizontal="center" vertical="center"/>
    </xf>
    <xf numFmtId="0" fontId="1" fillId="12" borderId="14" applyAlignment="1" pivotButton="0" quotePrefix="0" xfId="0">
      <alignment horizontal="center" vertical="center"/>
    </xf>
    <xf numFmtId="0" fontId="9" fillId="20" borderId="13" applyAlignment="1" pivotButton="0" quotePrefix="0" xfId="0">
      <alignment horizontal="center" vertical="center"/>
    </xf>
    <xf numFmtId="0" fontId="2" fillId="20" borderId="14" applyAlignment="1" pivotButton="0" quotePrefix="0" xfId="0">
      <alignment horizontal="center" vertical="center"/>
    </xf>
    <xf numFmtId="0" fontId="1" fillId="8" borderId="13" applyAlignment="1" pivotButton="0" quotePrefix="0" xfId="0">
      <alignment horizontal="center" vertical="center"/>
    </xf>
    <xf numFmtId="0" fontId="1" fillId="8" borderId="14" applyAlignment="1" pivotButton="0" quotePrefix="0" xfId="0">
      <alignment horizontal="center" vertical="center"/>
    </xf>
    <xf numFmtId="0" fontId="9" fillId="21" borderId="13" applyAlignment="1" pivotButton="0" quotePrefix="0" xfId="0">
      <alignment horizontal="center" vertical="center"/>
    </xf>
    <xf numFmtId="0" fontId="2" fillId="21" borderId="14" applyAlignment="1" pivotButton="0" quotePrefix="0" xfId="0">
      <alignment horizontal="center" vertical="center"/>
    </xf>
    <xf numFmtId="0" fontId="1" fillId="13" borderId="13" applyAlignment="1" pivotButton="0" quotePrefix="0" xfId="0">
      <alignment horizontal="center" vertical="center"/>
    </xf>
    <xf numFmtId="0" fontId="1" fillId="13" borderId="14" applyAlignment="1" pivotButton="0" quotePrefix="0" xfId="0">
      <alignment horizontal="center" vertical="center"/>
    </xf>
    <xf numFmtId="0" fontId="9" fillId="22" borderId="13" applyAlignment="1" pivotButton="0" quotePrefix="0" xfId="0">
      <alignment horizontal="center" vertical="center"/>
    </xf>
    <xf numFmtId="0" fontId="2" fillId="22" borderId="14" applyAlignment="1" pivotButton="0" quotePrefix="0" xfId="0">
      <alignment horizontal="center" vertical="center"/>
    </xf>
    <xf numFmtId="0" fontId="9" fillId="23" borderId="13" applyAlignment="1" pivotButton="0" quotePrefix="0" xfId="0">
      <alignment horizontal="center" vertical="center"/>
    </xf>
    <xf numFmtId="0" fontId="2" fillId="23" borderId="14" applyAlignment="1" pivotButton="0" quotePrefix="0" xfId="0">
      <alignment horizontal="center" vertical="center"/>
    </xf>
    <xf numFmtId="0" fontId="1" fillId="28" borderId="13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1" fillId="28" borderId="14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9" fillId="24" borderId="13" applyAlignment="1" pivotButton="0" quotePrefix="0" xfId="0">
      <alignment horizontal="center" vertical="center"/>
    </xf>
    <xf numFmtId="0" fontId="2" fillId="24" borderId="14" applyAlignment="1" pivotButton="0" quotePrefix="0" xfId="0">
      <alignment horizontal="center" vertical="center"/>
    </xf>
    <xf numFmtId="0" fontId="1" fillId="29" borderId="1" applyAlignment="1" pivotButton="0" quotePrefix="0" xfId="0">
      <alignment horizontal="left" vertical="center"/>
    </xf>
    <xf numFmtId="0" fontId="1" fillId="3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10" fillId="17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left" vertical="center" wrapText="1"/>
    </xf>
    <xf numFmtId="0" fontId="10" fillId="24" borderId="1" applyAlignment="1" pivotButton="0" quotePrefix="0" xfId="0">
      <alignment horizontal="left" vertical="center" wrapText="1"/>
    </xf>
    <xf numFmtId="0" fontId="1" fillId="29" borderId="1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4" fillId="16" borderId="24" applyAlignment="1" pivotButton="0" quotePrefix="0" xfId="0">
      <alignment horizontal="center" vertical="center"/>
    </xf>
    <xf numFmtId="0" fontId="4" fillId="16" borderId="24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/>
    </xf>
    <xf numFmtId="0" fontId="0" fillId="0" borderId="5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10" applyAlignment="1" pivotButton="0" quotePrefix="0" xfId="0">
      <alignment horizontal="left"/>
    </xf>
    <xf numFmtId="0" fontId="0" fillId="0" borderId="10" pivotButton="0" quotePrefix="0" xfId="0"/>
    <xf numFmtId="0" fontId="19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15" applyAlignment="1" pivotButton="0" quotePrefix="0" xfId="0">
      <alignment horizontal="center"/>
    </xf>
    <xf numFmtId="0" fontId="0" fillId="0" borderId="15" pivotButton="0" quotePrefix="0" xfId="0"/>
    <xf numFmtId="0" fontId="2" fillId="0" borderId="18" applyAlignment="1" pivotButton="0" quotePrefix="0" xfId="0">
      <alignment horizontal="left"/>
    </xf>
    <xf numFmtId="0" fontId="0" fillId="0" borderId="18" pivotButton="0" quotePrefix="0" xfId="0"/>
    <xf numFmtId="0" fontId="8" fillId="11" borderId="10" applyAlignment="1" pivotButton="0" quotePrefix="0" xfId="0">
      <alignment horizontal="left"/>
    </xf>
    <xf numFmtId="0" fontId="11" fillId="8" borderId="6" applyAlignment="1" pivotButton="0" quotePrefix="0" xfId="0">
      <alignment horizontal="left" vertical="center"/>
    </xf>
    <xf numFmtId="0" fontId="0" fillId="0" borderId="7" pivotButton="0" quotePrefix="0" xfId="0"/>
    <xf numFmtId="0" fontId="8" fillId="8" borderId="9" pivotButton="0" quotePrefix="0" xfId="0"/>
    <xf numFmtId="0" fontId="4" fillId="0" borderId="15" applyAlignment="1" pivotButton="0" quotePrefix="0" xfId="0">
      <alignment horizontal="left"/>
    </xf>
    <xf numFmtId="0" fontId="0" fillId="0" borderId="23" applyAlignment="1" pivotButton="0" quotePrefix="0" xfId="0">
      <alignment horizontal="center"/>
    </xf>
    <xf numFmtId="0" fontId="4" fillId="0" borderId="10" applyAlignment="1" pivotButton="0" quotePrefix="0" xfId="0">
      <alignment horizontal="left"/>
    </xf>
    <xf numFmtId="0" fontId="8" fillId="12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4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2" applyAlignment="1" pivotButton="0" quotePrefix="0" xfId="0">
      <alignment horizontal="center"/>
    </xf>
    <xf numFmtId="0" fontId="0" fillId="0" borderId="12" pivotButton="0" quotePrefix="0" xfId="0"/>
    <xf numFmtId="0" fontId="8" fillId="10" borderId="9" pivotButton="0" quotePrefix="0" xfId="0"/>
    <xf numFmtId="0" fontId="8" fillId="14" borderId="9" pivotButton="0" quotePrefix="0" xfId="0"/>
    <xf numFmtId="0" fontId="4" fillId="0" borderId="9" applyAlignment="1" pivotButton="0" quotePrefix="0" xfId="0">
      <alignment horizontal="left"/>
    </xf>
    <xf numFmtId="0" fontId="7" fillId="14" borderId="8" applyAlignment="1" pivotButton="0" quotePrefix="0" xfId="0">
      <alignment horizontal="center" vertical="center"/>
    </xf>
    <xf numFmtId="0" fontId="11" fillId="12" borderId="6" applyAlignment="1" pivotButton="0" quotePrefix="0" xfId="0">
      <alignment horizontal="left" vertical="center"/>
    </xf>
    <xf numFmtId="0" fontId="8" fillId="10" borderId="10" applyAlignment="1" pivotButton="0" quotePrefix="0" xfId="0">
      <alignment horizontal="left"/>
    </xf>
    <xf numFmtId="0" fontId="8" fillId="13" borderId="10" applyAlignment="1" pivotButton="0" quotePrefix="0" xfId="0">
      <alignment horizontal="left"/>
    </xf>
    <xf numFmtId="0" fontId="8" fillId="4" borderId="9" pivotButton="0" quotePrefix="0" xfId="0"/>
    <xf numFmtId="0" fontId="8" fillId="4" borderId="10" applyAlignment="1" pivotButton="0" quotePrefix="0" xfId="0">
      <alignment horizontal="left"/>
    </xf>
    <xf numFmtId="0" fontId="12" fillId="11" borderId="8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12" fillId="28" borderId="8" applyAlignment="1" pivotButton="0" quotePrefix="0" xfId="0">
      <alignment horizontal="center" vertical="center"/>
    </xf>
    <xf numFmtId="0" fontId="8" fillId="11" borderId="9" pivotButton="0" quotePrefix="0" xfId="0"/>
    <xf numFmtId="0" fontId="0" fillId="0" borderId="2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8" fillId="7" borderId="10" applyAlignment="1" pivotButton="0" quotePrefix="0" xfId="0">
      <alignment horizontal="left"/>
    </xf>
    <xf numFmtId="0" fontId="16" fillId="28" borderId="20" pivotButton="0" quotePrefix="0" xfId="0"/>
    <xf numFmtId="0" fontId="8" fillId="12" borderId="9" pivotButton="0" quotePrefix="0" xfId="0"/>
    <xf numFmtId="0" fontId="11" fillId="4" borderId="6" applyAlignment="1" pivotButton="0" quotePrefix="0" xfId="0">
      <alignment horizontal="left" vertical="center"/>
    </xf>
    <xf numFmtId="0" fontId="17" fillId="28" borderId="10" applyAlignment="1" pivotButton="0" quotePrefix="0" xfId="0">
      <alignment horizontal="left"/>
    </xf>
    <xf numFmtId="0" fontId="8" fillId="7" borderId="9" pivotButton="0" quotePrefix="0" xfId="0"/>
    <xf numFmtId="0" fontId="12" fillId="13" borderId="8" applyAlignment="1" pivotButton="0" quotePrefix="0" xfId="0">
      <alignment horizontal="center" vertical="center"/>
    </xf>
    <xf numFmtId="0" fontId="8" fillId="13" borderId="9" pivotButton="0" quotePrefix="0" xfId="0"/>
    <xf numFmtId="0" fontId="11" fillId="11" borderId="6" applyAlignment="1" pivotButton="0" quotePrefix="0" xfId="0">
      <alignment horizontal="left" vertical="center"/>
    </xf>
    <xf numFmtId="0" fontId="6" fillId="14" borderId="6" applyAlignment="1" pivotButton="0" quotePrefix="0" xfId="0">
      <alignment horizontal="left" vertical="center"/>
    </xf>
    <xf numFmtId="0" fontId="18" fillId="7" borderId="6" applyAlignment="1" pivotButton="0" quotePrefix="0" xfId="0">
      <alignment horizontal="left" vertical="center"/>
    </xf>
    <xf numFmtId="0" fontId="11" fillId="28" borderId="6" applyAlignment="1" pivotButton="0" quotePrefix="0" xfId="0">
      <alignment horizontal="left" vertical="center"/>
    </xf>
    <xf numFmtId="0" fontId="6" fillId="10" borderId="6" applyAlignment="1" pivotButton="0" quotePrefix="0" xfId="0">
      <alignment horizontal="left" vertical="center"/>
    </xf>
    <xf numFmtId="0" fontId="12" fillId="8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16" fillId="28" borderId="19" pivotButton="0" quotePrefix="0" xfId="0"/>
    <xf numFmtId="0" fontId="11" fillId="13" borderId="6" applyAlignment="1" pivotButton="0" quotePrefix="0" xfId="0">
      <alignment horizontal="left" vertical="center"/>
    </xf>
    <xf numFmtId="0" fontId="7" fillId="10" borderId="8" applyAlignment="1" pivotButton="0" quotePrefix="0" xfId="0">
      <alignment horizontal="center" vertical="center"/>
    </xf>
    <xf numFmtId="0" fontId="12" fillId="12" borderId="8" applyAlignment="1" pivotButton="0" quotePrefix="0" xfId="0">
      <alignment horizontal="center" vertical="center"/>
    </xf>
    <xf numFmtId="0" fontId="8" fillId="8" borderId="10" applyAlignment="1" pivotButton="0" quotePrefix="0" xfId="0">
      <alignment horizontal="left"/>
    </xf>
    <xf numFmtId="0" fontId="8" fillId="14" borderId="10" applyAlignment="1" pivotButton="0" quotePrefix="0" xfId="0">
      <alignment horizontal="left"/>
    </xf>
    <xf numFmtId="0" fontId="5" fillId="0" borderId="0" pivotButton="0" quotePrefix="0" xfId="0"/>
    <xf numFmtId="0" fontId="13" fillId="2" borderId="0" pivotButton="0" quotePrefix="0" xfId="0"/>
    <xf numFmtId="0" fontId="15" fillId="16" borderId="0" pivotButton="0" quotePrefix="0" xfId="0"/>
    <xf numFmtId="0" fontId="14" fillId="2" borderId="0" pivotButton="0" quotePrefix="0" xfId="0"/>
    <xf numFmtId="0" fontId="2" fillId="3" borderId="24" applyAlignment="1" pivotButton="0" quotePrefix="0" xfId="0">
      <alignment horizontal="center" vertical="center"/>
    </xf>
    <xf numFmtId="0" fontId="2" fillId="3" borderId="24" applyAlignment="1" pivotButton="0" quotePrefix="0" xfId="0">
      <alignment horizontal="left" vertical="center"/>
    </xf>
    <xf numFmtId="0" fontId="1" fillId="12" borderId="24" applyAlignment="1" pivotButton="0" quotePrefix="0" xfId="0">
      <alignment horizontal="left" vertical="center"/>
    </xf>
    <xf numFmtId="0" fontId="3" fillId="3" borderId="24" applyAlignment="1" pivotButton="0" quotePrefix="0" xfId="0">
      <alignment horizontal="center" vertical="center"/>
    </xf>
    <xf numFmtId="0" fontId="1" fillId="29" borderId="24" applyAlignment="1" pivotButton="0" quotePrefix="0" xfId="0">
      <alignment horizontal="left" vertical="center"/>
    </xf>
    <xf numFmtId="0" fontId="4" fillId="10" borderId="24" applyAlignment="1" pivotButton="0" quotePrefix="0" xfId="0">
      <alignment horizontal="left" vertical="center"/>
    </xf>
    <xf numFmtId="0" fontId="4" fillId="14" borderId="24" applyAlignment="1" pivotButton="0" quotePrefix="0" xfId="0">
      <alignment horizontal="left" vertical="center"/>
    </xf>
    <xf numFmtId="0" fontId="1" fillId="4" borderId="24" applyAlignment="1" pivotButton="0" quotePrefix="0" xfId="0">
      <alignment horizontal="left" vertical="center"/>
    </xf>
    <xf numFmtId="0" fontId="4" fillId="7" borderId="24" applyAlignment="1" pivotButton="0" quotePrefix="0" xfId="0">
      <alignment horizontal="left" vertical="center"/>
    </xf>
    <xf numFmtId="0" fontId="1" fillId="30" borderId="24" applyAlignment="1" pivotButton="0" quotePrefix="0" xfId="0">
      <alignment horizontal="left" vertical="center"/>
    </xf>
    <xf numFmtId="0" fontId="1" fillId="13" borderId="24" applyAlignment="1" pivotButton="0" quotePrefix="0" xfId="0">
      <alignment horizontal="left" vertical="center"/>
    </xf>
    <xf numFmtId="0" fontId="1" fillId="8" borderId="24" applyAlignment="1" pivotButton="0" quotePrefix="0" xfId="0">
      <alignment horizontal="left" vertical="center"/>
    </xf>
    <xf numFmtId="0" fontId="2" fillId="31" borderId="24" applyAlignment="1" pivotButton="0" quotePrefix="0" xfId="0">
      <alignment horizontal="center" vertical="center"/>
    </xf>
    <xf numFmtId="0" fontId="2" fillId="31" borderId="24" applyAlignment="1" pivotButton="0" quotePrefix="0" xfId="0">
      <alignment horizontal="left" vertical="center"/>
    </xf>
    <xf numFmtId="0" fontId="0" fillId="16" borderId="28" pivotButton="0" quotePrefix="0" xfId="0"/>
    <xf numFmtId="0" fontId="20" fillId="2" borderId="0" applyAlignment="1" pivotButton="0" quotePrefix="0" xfId="0">
      <alignment horizontal="center" vertical="center"/>
    </xf>
    <xf numFmtId="0" fontId="1" fillId="25" borderId="28" applyAlignment="1" pivotButton="0" quotePrefix="0" xfId="0">
      <alignment horizontal="center" vertical="center"/>
    </xf>
    <xf numFmtId="0" fontId="21" fillId="20" borderId="29" applyAlignment="1" pivotButton="0" quotePrefix="0" xfId="0">
      <alignment horizontal="center" vertical="center"/>
    </xf>
    <xf numFmtId="0" fontId="22" fillId="20" borderId="28" applyAlignment="1" pivotButton="0" quotePrefix="0" xfId="0">
      <alignment horizontal="left" vertical="center"/>
    </xf>
    <xf numFmtId="0" fontId="1" fillId="12" borderId="28" applyAlignment="1" pivotButton="0" quotePrefix="0" xfId="0">
      <alignment horizontal="center" vertical="center"/>
    </xf>
    <xf numFmtId="0" fontId="0" fillId="20" borderId="28" pivotButton="0" quotePrefix="0" xfId="0"/>
    <xf numFmtId="0" fontId="0" fillId="21" borderId="28" applyAlignment="1" pivotButton="0" quotePrefix="0" xfId="0">
      <alignment horizontal="center" vertical="center"/>
    </xf>
    <xf numFmtId="0" fontId="21" fillId="5" borderId="29" applyAlignment="1" pivotButton="0" quotePrefix="0" xfId="0">
      <alignment horizontal="center" vertical="center"/>
    </xf>
    <xf numFmtId="0" fontId="22" fillId="5" borderId="28" applyAlignment="1" pivotButton="0" quotePrefix="0" xfId="0">
      <alignment horizontal="left" vertical="center"/>
    </xf>
    <xf numFmtId="0" fontId="1" fillId="30" borderId="28" applyAlignment="1" pivotButton="0" quotePrefix="0" xfId="0">
      <alignment horizontal="center" vertical="center"/>
    </xf>
    <xf numFmtId="0" fontId="0" fillId="5" borderId="28" pivotButton="0" quotePrefix="0" xfId="0"/>
    <xf numFmtId="0" fontId="1" fillId="13" borderId="28" applyAlignment="1" pivotButton="0" quotePrefix="0" xfId="0">
      <alignment horizontal="center" vertical="center"/>
    </xf>
    <xf numFmtId="0" fontId="1" fillId="29" borderId="28" applyAlignment="1" pivotButton="0" quotePrefix="0" xfId="0">
      <alignment horizontal="center" vertical="center"/>
    </xf>
    <xf numFmtId="0" fontId="4" fillId="10" borderId="28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4" fillId="7" borderId="28" applyAlignment="1" pivotButton="0" quotePrefix="0" xfId="0">
      <alignment horizontal="center" vertical="center"/>
    </xf>
    <xf numFmtId="0" fontId="1" fillId="8" borderId="28" applyAlignment="1" pivotButton="0" quotePrefix="0" xfId="0">
      <alignment horizontal="center" vertical="center"/>
    </xf>
    <xf numFmtId="0" fontId="23" fillId="16" borderId="28" applyAlignment="1" pivotButton="0" quotePrefix="0" xfId="0">
      <alignment horizontal="center" vertical="center"/>
    </xf>
    <xf numFmtId="0" fontId="24" fillId="16" borderId="28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9" fillId="20" borderId="29" applyAlignment="1" pivotButton="0" quotePrefix="0" xfId="0">
      <alignment horizontal="center" vertical="center"/>
    </xf>
    <xf numFmtId="0" fontId="25" fillId="20" borderId="28" applyAlignment="1" pivotButton="0" quotePrefix="0" xfId="0">
      <alignment horizontal="left" vertical="center"/>
    </xf>
    <xf numFmtId="0" fontId="13" fillId="12" borderId="28" applyAlignment="1" pivotButton="0" quotePrefix="0" xfId="0">
      <alignment horizontal="center" vertical="center"/>
    </xf>
    <xf numFmtId="0" fontId="25" fillId="21" borderId="28" applyAlignment="1" pivotButton="0" quotePrefix="0" xfId="0">
      <alignment horizontal="center" vertical="center"/>
    </xf>
    <xf numFmtId="0" fontId="9" fillId="5" borderId="29" applyAlignment="1" pivotButton="0" quotePrefix="0" xfId="0">
      <alignment horizontal="center" vertical="center"/>
    </xf>
    <xf numFmtId="0" fontId="25" fillId="5" borderId="28" applyAlignment="1" pivotButton="0" quotePrefix="0" xfId="0">
      <alignment horizontal="left" vertical="center"/>
    </xf>
    <xf numFmtId="0" fontId="13" fillId="30" borderId="28" applyAlignment="1" pivotButton="0" quotePrefix="0" xfId="0">
      <alignment horizontal="center" vertical="center"/>
    </xf>
    <xf numFmtId="0" fontId="13" fillId="13" borderId="28" applyAlignment="1" pivotButton="0" quotePrefix="0" xfId="0">
      <alignment horizontal="center" vertical="center"/>
    </xf>
    <xf numFmtId="0" fontId="13" fillId="29" borderId="28" applyAlignment="1" pivotButton="0" quotePrefix="0" xfId="0">
      <alignment horizontal="center" vertical="center"/>
    </xf>
    <xf numFmtId="0" fontId="15" fillId="10" borderId="28" applyAlignment="1" pivotButton="0" quotePrefix="0" xfId="0">
      <alignment horizontal="center" vertical="center"/>
    </xf>
    <xf numFmtId="0" fontId="15" fillId="14" borderId="28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5" fillId="7" borderId="28" applyAlignment="1" pivotButton="0" quotePrefix="0" xfId="0">
      <alignment horizontal="center" vertical="center"/>
    </xf>
    <xf numFmtId="0" fontId="13" fillId="8" borderId="2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1" fillId="3" borderId="29" applyAlignment="1" pivotButton="0" quotePrefix="0" xfId="0">
      <alignment horizontal="center" vertical="center"/>
    </xf>
    <xf numFmtId="0" fontId="2" fillId="3" borderId="28" applyAlignment="1" pivotButton="0" quotePrefix="0" xfId="0">
      <alignment horizontal="left" vertical="center"/>
    </xf>
    <xf numFmtId="0" fontId="2" fillId="3" borderId="28" applyAlignment="1" pivotButton="0" quotePrefix="0" xfId="0">
      <alignment horizontal="center" vertical="center"/>
    </xf>
    <xf numFmtId="0" fontId="26" fillId="21" borderId="28" applyAlignment="1" pivotButton="0" quotePrefix="0" xfId="0">
      <alignment horizontal="center" vertical="center"/>
    </xf>
    <xf numFmtId="0" fontId="2" fillId="20" borderId="28" applyAlignment="1" pivotButton="0" quotePrefix="0" xfId="0">
      <alignment horizontal="left" vertical="center"/>
    </xf>
    <xf numFmtId="0" fontId="2" fillId="20" borderId="28" applyAlignment="1" pivotButton="0" quotePrefix="0" xfId="0">
      <alignment horizontal="center" vertical="center"/>
    </xf>
    <xf numFmtId="0" fontId="2" fillId="5" borderId="28" applyAlignment="1" pivotButton="0" quotePrefix="0" xfId="0">
      <alignment horizontal="left" vertical="center"/>
    </xf>
    <xf numFmtId="0" fontId="2" fillId="5" borderId="28" applyAlignment="1" pivotButton="0" quotePrefix="0" xfId="0">
      <alignment horizontal="center" vertical="center"/>
    </xf>
    <xf numFmtId="0" fontId="1" fillId="32" borderId="24" applyAlignment="1" pivotButton="0" quotePrefix="0" xfId="0">
      <alignment horizontal="left" vertical="center"/>
    </xf>
    <xf numFmtId="0" fontId="1" fillId="32" borderId="28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3" fillId="32" borderId="28" applyAlignment="1" pivotButton="0" quotePrefix="0" xfId="0">
      <alignment horizontal="center" vertical="center"/>
    </xf>
    <xf numFmtId="0" fontId="22" fillId="3" borderId="28" applyAlignment="1" pivotButton="0" quotePrefix="0" xfId="0">
      <alignment horizontal="left" vertical="center"/>
    </xf>
    <xf numFmtId="0" fontId="1" fillId="10" borderId="28" applyAlignment="1" pivotButton="0" quotePrefix="0" xfId="0">
      <alignment horizontal="center" vertical="center"/>
    </xf>
    <xf numFmtId="0" fontId="0" fillId="3" borderId="28" pivotButton="0" quotePrefix="0" xfId="0"/>
    <xf numFmtId="0" fontId="1" fillId="14" borderId="28" applyAlignment="1" pivotButton="0" quotePrefix="0" xfId="0">
      <alignment horizontal="center" vertical="center"/>
    </xf>
    <xf numFmtId="0" fontId="1" fillId="7" borderId="28" applyAlignment="1" pivotButton="0" quotePrefix="0" xfId="0">
      <alignment horizontal="center" vertical="center"/>
    </xf>
    <xf numFmtId="0" fontId="26" fillId="20" borderId="28" applyAlignment="1" pivotButton="0" quotePrefix="0" xfId="0">
      <alignment horizontal="left" vertical="center"/>
    </xf>
    <xf numFmtId="0" fontId="26" fillId="5" borderId="28" applyAlignment="1" pivotButton="0" quotePrefix="0" xfId="0">
      <alignment horizontal="left" vertical="center"/>
    </xf>
    <xf numFmtId="0" fontId="9" fillId="3" borderId="29" applyAlignment="1" pivotButton="0" quotePrefix="0" xfId="0">
      <alignment horizontal="center" vertical="center"/>
    </xf>
    <xf numFmtId="0" fontId="26" fillId="3" borderId="28" applyAlignment="1" pivotButton="0" quotePrefix="0" xfId="0">
      <alignment horizontal="left" vertical="center"/>
    </xf>
    <xf numFmtId="0" fontId="13" fillId="10" borderId="28" applyAlignment="1" pivotButton="0" quotePrefix="0" xfId="0">
      <alignment horizontal="center" vertical="center"/>
    </xf>
    <xf numFmtId="0" fontId="13" fillId="14" borderId="28" applyAlignment="1" pivotButton="0" quotePrefix="0" xfId="0">
      <alignment horizontal="center" vertical="center"/>
    </xf>
    <xf numFmtId="0" fontId="13" fillId="7" borderId="28" applyAlignment="1" pivotButton="0" quotePrefix="0" xfId="0">
      <alignment horizontal="center" vertical="center"/>
    </xf>
    <xf numFmtId="0" fontId="8" fillId="16" borderId="28" applyAlignment="1" pivotButton="0" quotePrefix="0" xfId="0">
      <alignment horizontal="center" vertical="center"/>
    </xf>
    <xf numFmtId="0" fontId="27" fillId="16" borderId="28" applyAlignment="1" pivotButton="0" quotePrefix="0" xfId="0">
      <alignment horizontal="center" vertical="center"/>
    </xf>
    <xf numFmtId="0" fontId="1" fillId="26" borderId="28" applyAlignment="1" pivotButton="0" quotePrefix="0" xfId="0">
      <alignment horizontal="center" vertical="center"/>
    </xf>
    <xf numFmtId="0" fontId="22" fillId="5" borderId="28" applyAlignment="1" pivotButton="0" quotePrefix="0" xfId="0">
      <alignment horizontal="center" vertical="center"/>
    </xf>
    <xf numFmtId="0" fontId="22" fillId="3" borderId="28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" fillId="27" borderId="28" applyAlignment="1" pivotButton="0" quotePrefix="0" xfId="0">
      <alignment horizontal="center" vertical="center"/>
    </xf>
    <xf numFmtId="0" fontId="21" fillId="16" borderId="29" applyAlignment="1" pivotButton="0" quotePrefix="0" xfId="0">
      <alignment horizontal="center" vertical="center"/>
    </xf>
    <xf numFmtId="0" fontId="22" fillId="16" borderId="28" applyAlignment="1" pivotButton="0" quotePrefix="0" xfId="0">
      <alignment horizontal="left" vertical="center"/>
    </xf>
    <xf numFmtId="0" fontId="22" fillId="16" borderId="28" applyAlignment="1" pivotButton="0" quotePrefix="0" xfId="0">
      <alignment horizontal="left" vertical="center" wrapText="1"/>
    </xf>
    <xf numFmtId="0" fontId="22" fillId="5" borderId="28" applyAlignment="1" pivotButton="0" quotePrefix="0" xfId="0">
      <alignment horizontal="left" vertical="center" wrapText="1"/>
    </xf>
    <xf numFmtId="0" fontId="9" fillId="33" borderId="13" applyAlignment="1" pivotButton="0" quotePrefix="0" xfId="0">
      <alignment horizontal="center" vertical="center"/>
    </xf>
    <xf numFmtId="0" fontId="2" fillId="33" borderId="1" applyAlignment="1" pivotButton="0" quotePrefix="0" xfId="0">
      <alignment horizontal="left" vertical="center"/>
    </xf>
    <xf numFmtId="0" fontId="2" fillId="33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left" vertical="center" wrapText="1"/>
    </xf>
    <xf numFmtId="0" fontId="2" fillId="33" borderId="14" applyAlignment="1" pivotButton="0" quotePrefix="0" xfId="0">
      <alignment horizontal="center" vertical="center"/>
    </xf>
    <xf numFmtId="0" fontId="9" fillId="34" borderId="13" applyAlignment="1" pivotButton="0" quotePrefix="0" xfId="0">
      <alignment horizontal="center" vertical="center"/>
    </xf>
    <xf numFmtId="0" fontId="2" fillId="34" borderId="1" applyAlignment="1" pivotButton="0" quotePrefix="0" xfId="0">
      <alignment horizontal="left" vertical="center"/>
    </xf>
    <xf numFmtId="0" fontId="2" fillId="34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left" vertical="center" wrapText="1"/>
    </xf>
    <xf numFmtId="0" fontId="2" fillId="34" borderId="14" applyAlignment="1" pivotButton="0" quotePrefix="0" xfId="0">
      <alignment horizontal="center" vertical="center"/>
    </xf>
  </cellXfs>
  <cellStyles count="1">
    <cellStyle name="Normal" xfId="0" builtinId="0"/>
  </cellStyles>
  <dxfs count="46"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FFFFFF"/>
        <sz val="10"/>
      </font>
      <fill>
        <patternFill patternType="solid">
          <fgColor rgb="FF00B050"/>
          <bgColor rgb="FF00B05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</dxf>
    <dxf>
      <font>
        <name val="Arial"/>
        <b val="1"/>
        <color rgb="FFCC0000"/>
        <sz val="10"/>
      </font>
    </dxf>
    <dxf>
      <font>
        <b val="1"/>
        <color rgb="FF000000"/>
      </font>
      <fill>
        <patternFill patternType="solid">
          <fgColor rgb="FFFFC000"/>
        </patternFill>
      </fill>
    </dxf>
    <dxf>
      <font>
        <b val="1"/>
        <color rgb="FFFFFFFF"/>
      </font>
      <fill>
        <patternFill patternType="solid">
          <fgColor rgb="FFFF0000"/>
        </patternFill>
      </fill>
    </dxf>
    <dxf>
      <font>
        <b val="1"/>
        <color rgb="FFFFFFFF"/>
      </font>
      <fill>
        <patternFill patternType="solid">
          <fgColor rgb="FFFF6600"/>
        </patternFill>
      </fill>
    </dxf>
    <dxf>
      <font>
        <b val="1"/>
        <color rgb="FF000000"/>
      </font>
      <fill>
        <patternFill patternType="solid">
          <fgColor rgb="FFFF99CC"/>
        </patternFill>
      </fill>
    </dxf>
    <dxf>
      <font>
        <b val="1"/>
        <color rgb="FFFFFFFF"/>
      </font>
      <fill>
        <patternFill patternType="solid">
          <fgColor rgb="FF0070C0"/>
        </patternFill>
      </fill>
    </dxf>
    <dxf>
      <font>
        <b val="1"/>
        <color rgb="FFFFFFFF"/>
      </font>
      <fill>
        <patternFill patternType="solid">
          <fgColor rgb="FF00B050"/>
        </patternFill>
      </fill>
    </dxf>
    <dxf>
      <font>
        <b val="1"/>
        <color rgb="FFFFFFFF"/>
      </font>
      <fill>
        <patternFill patternType="solid">
          <fgColor rgb="FF8B4513"/>
        </patternFill>
      </fill>
    </dxf>
    <dxf>
      <font>
        <b val="1"/>
        <color rgb="FFFFFFFF"/>
      </font>
      <fill>
        <patternFill patternType="solid">
          <fgColor rgb="FF000000"/>
        </patternFill>
      </fill>
    </dxf>
    <dxf>
      <font>
        <b val="1"/>
        <color rgb="FF000000"/>
      </font>
      <fill>
        <patternFill patternType="solid">
          <fgColor rgb="FF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7" customWidth="1" style="121" min="1" max="1"/>
    <col width="40" customWidth="1" style="121" min="2" max="2"/>
    <col width="10" customWidth="1" style="121" min="3" max="3"/>
    <col width="6" customWidth="1" style="121" min="4" max="4"/>
    <col width="8" customWidth="1" style="121" min="5" max="6"/>
    <col width="7" customWidth="1" style="121" min="7" max="7"/>
    <col width="22" customWidth="1" style="121" min="8" max="8"/>
    <col width="20" customWidth="1" style="121" min="9" max="9"/>
    <col width="45" customWidth="1" style="121" min="10" max="10"/>
    <col width="25" customWidth="1" style="121" min="11" max="11"/>
    <col width="18" customWidth="1" style="121" min="12" max="12"/>
    <col width="25" customWidth="1" style="121" min="13" max="13"/>
    <col width="18" customWidth="1" style="121" min="14" max="14"/>
    <col width="30" customWidth="1" style="121" min="15" max="15"/>
    <col width="18" customWidth="1" style="121" min="16" max="16"/>
    <col width="12" customWidth="1" style="121" min="17" max="17"/>
    <col width="11" customWidth="1" style="121" min="18" max="18"/>
  </cols>
  <sheetData>
    <row r="1" ht="20.05" customHeight="1" s="121">
      <c r="A1" s="1" t="inlineStr">
        <is>
          <t>FICHA</t>
        </is>
      </c>
      <c r="B1" s="1" t="inlineStr">
        <is>
          <t>NOME</t>
        </is>
      </c>
      <c r="C1" s="1" t="inlineStr">
        <is>
          <t>TAMANHO DA CAMISETA</t>
        </is>
      </c>
      <c r="D1" s="1" t="inlineStr">
        <is>
          <t>SEXO</t>
        </is>
      </c>
      <c r="E1" s="1" t="inlineStr">
        <is>
          <t>PESO</t>
        </is>
      </c>
      <c r="F1" s="1" t="inlineStr">
        <is>
          <t>ALTURA</t>
        </is>
      </c>
      <c r="G1" s="1" t="inlineStr">
        <is>
          <t>IDADE</t>
        </is>
      </c>
      <c r="H1" s="1" t="inlineStr">
        <is>
          <t>CELULAR</t>
        </is>
      </c>
      <c r="I1" s="1" t="inlineStr">
        <is>
          <t>CIDADE</t>
        </is>
      </c>
      <c r="J1" s="1" t="inlineStr">
        <is>
          <t>CONFLITOS / CONHECIDOS</t>
        </is>
      </c>
      <c r="K1" s="1" t="inlineStr">
        <is>
          <t>NOMES CONTATOS I</t>
        </is>
      </c>
      <c r="L1" s="1" t="inlineStr">
        <is>
          <t>TELEFONE CONTATO I</t>
        </is>
      </c>
      <c r="M1" s="1" t="inlineStr">
        <is>
          <t>NOMES CONTATOS II</t>
        </is>
      </c>
      <c r="N1" s="1" t="inlineStr">
        <is>
          <t>TELEFONE CONTATO II</t>
        </is>
      </c>
      <c r="O1" s="1" t="inlineStr">
        <is>
          <t>ALERGIAS</t>
        </is>
      </c>
      <c r="P1" s="1" t="inlineStr">
        <is>
          <t>DATA DE NASCIMENTO</t>
        </is>
      </c>
      <c r="Q1" s="1" t="inlineStr">
        <is>
          <t>TRIBO</t>
        </is>
      </c>
      <c r="R1" s="1" t="inlineStr">
        <is>
          <t>PARCEIRO FC</t>
        </is>
      </c>
    </row>
    <row r="2">
      <c r="A2" s="188" t="n">
        <v>1</v>
      </c>
      <c r="B2" s="189" t="inlineStr">
        <is>
          <t>Adejar Nunes Guimarães</t>
        </is>
      </c>
      <c r="C2" s="188" t="inlineStr">
        <is>
          <t>G</t>
        </is>
      </c>
      <c r="D2" s="188" t="inlineStr">
        <is>
          <t>M</t>
        </is>
      </c>
      <c r="E2" s="188" t="n">
        <v>73</v>
      </c>
      <c r="F2" s="188" t="n">
        <v>1.66</v>
      </c>
      <c r="G2" s="188" t="n">
        <v>74</v>
      </c>
      <c r="H2" s="189" t="inlineStr">
        <is>
          <t>+55 (64) 98408-2025</t>
        </is>
      </c>
      <c r="I2" s="189" t="inlineStr">
        <is>
          <t>Caçu</t>
        </is>
      </c>
      <c r="J2" s="189" t="inlineStr">
        <is>
          <t>Sim. Eliete Fátima (esposa), Catarina Elzi (conhecida)</t>
        </is>
      </c>
      <c r="K2" s="189" t="inlineStr">
        <is>
          <t>Geovana Guimarães</t>
        </is>
      </c>
      <c r="L2" s="189" t="inlineStr">
        <is>
          <t>62982185298</t>
        </is>
      </c>
      <c r="M2" s="189" t="inlineStr">
        <is>
          <t>Thaís Guimarães</t>
        </is>
      </c>
      <c r="N2" s="189" t="inlineStr">
        <is>
          <t>62982185297</t>
        </is>
      </c>
      <c r="O2" s="189" t="inlineStr">
        <is>
          <t>Não que eu saiba</t>
        </is>
      </c>
      <c r="P2" s="189" t="inlineStr">
        <is>
          <t>1952-04-03</t>
        </is>
      </c>
      <c r="Q2" s="190" t="inlineStr">
        <is>
          <t>Benjamim</t>
        </is>
      </c>
      <c r="R2" s="191" t="inlineStr"/>
    </row>
    <row r="3">
      <c r="A3" s="188" t="n">
        <v>2</v>
      </c>
      <c r="B3" s="189" t="inlineStr">
        <is>
          <t>Affonso Moreira Cardoso</t>
        </is>
      </c>
      <c r="C3" s="188" t="inlineStr">
        <is>
          <t>M</t>
        </is>
      </c>
      <c r="D3" s="188" t="inlineStr">
        <is>
          <t>M</t>
        </is>
      </c>
      <c r="E3" s="188" t="n">
        <v>75</v>
      </c>
      <c r="F3" s="188" t="n">
        <v>1.65</v>
      </c>
      <c r="G3" s="188" t="n">
        <v>39</v>
      </c>
      <c r="H3" s="189" t="inlineStr">
        <is>
          <t>+55 (62) 98279-1421</t>
        </is>
      </c>
      <c r="I3" s="189" t="inlineStr">
        <is>
          <t>Goiania</t>
        </is>
      </c>
      <c r="J3" s="189" t="inlineStr">
        <is>
          <t>Não</t>
        </is>
      </c>
      <c r="K3" s="189" t="inlineStr">
        <is>
          <t>Raquel irmã</t>
        </is>
      </c>
      <c r="L3" s="189" t="inlineStr">
        <is>
          <t>+55 62 8270-9532</t>
        </is>
      </c>
      <c r="M3" s="189" t="inlineStr">
        <is>
          <t>Mônica mãe</t>
        </is>
      </c>
      <c r="N3" s="189" t="inlineStr">
        <is>
          <t>0 62 8114-5127</t>
        </is>
      </c>
      <c r="O3" s="189" t="inlineStr">
        <is>
          <t>Não</t>
        </is>
      </c>
      <c r="P3" s="189" t="inlineStr">
        <is>
          <t>1986-12-26</t>
        </is>
      </c>
      <c r="Q3" s="192" t="inlineStr">
        <is>
          <t>Rubem</t>
        </is>
      </c>
      <c r="R3" s="191" t="inlineStr"/>
    </row>
    <row r="4">
      <c r="A4" s="188" t="n">
        <v>3</v>
      </c>
      <c r="B4" s="189" t="inlineStr">
        <is>
          <t>Aires Silva</t>
        </is>
      </c>
      <c r="C4" s="188" t="inlineStr">
        <is>
          <t>G</t>
        </is>
      </c>
      <c r="D4" s="188" t="inlineStr">
        <is>
          <t>M</t>
        </is>
      </c>
      <c r="E4" s="188" t="n">
        <v>82</v>
      </c>
      <c r="F4" s="188" t="n">
        <v>1.75</v>
      </c>
      <c r="G4" s="188" t="n">
        <v>62</v>
      </c>
      <c r="H4" s="189" t="inlineStr">
        <is>
          <t>+55 (62) 99159-4335</t>
        </is>
      </c>
      <c r="I4" s="189" t="inlineStr">
        <is>
          <t>Goiânia</t>
        </is>
      </c>
      <c r="J4" s="189" t="inlineStr">
        <is>
          <t>Sim. Maria Ivone (esposa)</t>
        </is>
      </c>
      <c r="K4" s="189" t="inlineStr">
        <is>
          <t>Ana Paula</t>
        </is>
      </c>
      <c r="L4" s="189" t="inlineStr">
        <is>
          <t>(11) 93321-1010</t>
        </is>
      </c>
      <c r="M4" s="189" t="inlineStr">
        <is>
          <t>Ana Gabriela</t>
        </is>
      </c>
      <c r="N4" s="189" t="inlineStr">
        <is>
          <t>(62) 992747297</t>
        </is>
      </c>
      <c r="O4" s="189" t="inlineStr">
        <is>
          <t>Frutos do mar</t>
        </is>
      </c>
      <c r="P4" s="189" t="inlineStr">
        <is>
          <t>1964-02-01</t>
        </is>
      </c>
      <c r="Q4" s="193" t="inlineStr">
        <is>
          <t>Levi</t>
        </is>
      </c>
      <c r="R4" s="191" t="n">
        <v>100</v>
      </c>
    </row>
    <row r="5">
      <c r="A5" s="188" t="n">
        <v>4</v>
      </c>
      <c r="B5" s="189" t="inlineStr">
        <is>
          <t>Amanda  Werneck</t>
        </is>
      </c>
      <c r="C5" s="188" t="inlineStr">
        <is>
          <t>G</t>
        </is>
      </c>
      <c r="D5" s="188" t="inlineStr">
        <is>
          <t>F</t>
        </is>
      </c>
      <c r="E5" s="188" t="n">
        <v>69</v>
      </c>
      <c r="F5" s="188" t="n">
        <v>1.7</v>
      </c>
      <c r="G5" s="188" t="n">
        <v>45</v>
      </c>
      <c r="H5" s="189" t="inlineStr">
        <is>
          <t>+55 (62) 99804-9912</t>
        </is>
      </c>
      <c r="I5" s="189" t="inlineStr">
        <is>
          <t>Goiânia</t>
        </is>
      </c>
      <c r="J5" s="189" t="inlineStr">
        <is>
          <t>Não.</t>
        </is>
      </c>
      <c r="K5" s="189" t="inlineStr">
        <is>
          <t>Luiz Botosso</t>
        </is>
      </c>
      <c r="L5" s="189" t="inlineStr">
        <is>
          <t>62996037374</t>
        </is>
      </c>
      <c r="M5" s="189" t="inlineStr">
        <is>
          <t>Luiza Werneck</t>
        </is>
      </c>
      <c r="N5" s="189" t="inlineStr">
        <is>
          <t>6299808079</t>
        </is>
      </c>
      <c r="O5" s="189" t="inlineStr">
        <is>
          <t>Insetos</t>
        </is>
      </c>
      <c r="P5" s="189" t="inlineStr">
        <is>
          <t>1980-07-23</t>
        </is>
      </c>
      <c r="Q5" s="194" t="inlineStr">
        <is>
          <t>Simeão</t>
        </is>
      </c>
      <c r="R5" s="191" t="inlineStr"/>
    </row>
    <row r="6">
      <c r="A6" s="188" t="n">
        <v>5</v>
      </c>
      <c r="B6" s="189" t="inlineStr">
        <is>
          <t>Amarildo Ferreira</t>
        </is>
      </c>
      <c r="C6" s="188" t="inlineStr">
        <is>
          <t>G</t>
        </is>
      </c>
      <c r="D6" s="188" t="inlineStr">
        <is>
          <t>M</t>
        </is>
      </c>
      <c r="E6" s="188" t="n">
        <v>85</v>
      </c>
      <c r="F6" s="188" t="n">
        <v>1.72</v>
      </c>
      <c r="G6" s="188" t="n">
        <v>36</v>
      </c>
      <c r="H6" s="189" t="inlineStr">
        <is>
          <t>+55 (61) 99571-6653</t>
        </is>
      </c>
      <c r="I6" s="189" t="inlineStr">
        <is>
          <t>Goiânia</t>
        </is>
      </c>
      <c r="J6" s="189" t="inlineStr">
        <is>
          <t>Alexandre</t>
        </is>
      </c>
      <c r="K6" s="189" t="inlineStr">
        <is>
          <t>Ubiratan</t>
        </is>
      </c>
      <c r="L6" s="189" t="inlineStr">
        <is>
          <t>62981576273</t>
        </is>
      </c>
      <c r="M6" s="189" t="inlineStr">
        <is>
          <t>Amanda</t>
        </is>
      </c>
      <c r="N6" s="189" t="inlineStr">
        <is>
          <t>6181708411</t>
        </is>
      </c>
      <c r="O6" s="189" t="inlineStr">
        <is>
          <t>não</t>
        </is>
      </c>
      <c r="P6" s="189" t="inlineStr">
        <is>
          <t>1989-05-25</t>
        </is>
      </c>
      <c r="Q6" s="195" t="inlineStr">
        <is>
          <t>Judá</t>
        </is>
      </c>
      <c r="R6" s="191" t="inlineStr"/>
    </row>
    <row r="7">
      <c r="A7" s="188" t="n">
        <v>6</v>
      </c>
      <c r="B7" s="189" t="inlineStr">
        <is>
          <t>Ana Gabriela Borges Teixeira</t>
        </is>
      </c>
      <c r="C7" s="188" t="inlineStr">
        <is>
          <t>P</t>
        </is>
      </c>
      <c r="D7" s="188" t="inlineStr">
        <is>
          <t>F</t>
        </is>
      </c>
      <c r="E7" s="188" t="n">
        <v>60</v>
      </c>
      <c r="F7" s="188" t="n">
        <v>1.68</v>
      </c>
      <c r="G7" s="188" t="n">
        <v>26</v>
      </c>
      <c r="H7" s="189" t="inlineStr">
        <is>
          <t>+55 (91) 98207-7079</t>
        </is>
      </c>
      <c r="I7" s="189" t="inlineStr">
        <is>
          <t>Goiânia</t>
        </is>
      </c>
      <c r="J7" s="189" t="inlineStr">
        <is>
          <t>Não</t>
        </is>
      </c>
      <c r="K7" s="189" t="inlineStr">
        <is>
          <t>Stella Borges</t>
        </is>
      </c>
      <c r="L7" s="189" t="inlineStr">
        <is>
          <t>62 98182-3358</t>
        </is>
      </c>
      <c r="M7" s="189" t="inlineStr">
        <is>
          <t>Monique Borges</t>
        </is>
      </c>
      <c r="N7" s="189" t="inlineStr">
        <is>
          <t>62 98244-1695</t>
        </is>
      </c>
      <c r="O7" s="189" t="inlineStr">
        <is>
          <t>Não</t>
        </is>
      </c>
      <c r="P7" s="189" t="inlineStr">
        <is>
          <t>1999-11-14</t>
        </is>
      </c>
      <c r="Q7" s="194" t="inlineStr">
        <is>
          <t>Simeão</t>
        </is>
      </c>
      <c r="R7" s="191" t="inlineStr"/>
    </row>
    <row r="8">
      <c r="A8" s="188" t="n">
        <v>7</v>
      </c>
      <c r="B8" s="189" t="inlineStr">
        <is>
          <t>Ana Gabriela Franco Ribeiro Aguiar</t>
        </is>
      </c>
      <c r="C8" s="188" t="inlineStr">
        <is>
          <t>P</t>
        </is>
      </c>
      <c r="D8" s="188" t="inlineStr">
        <is>
          <t>F</t>
        </is>
      </c>
      <c r="E8" s="188" t="n">
        <v>59</v>
      </c>
      <c r="F8" s="188" t="n">
        <v>1.55</v>
      </c>
      <c r="G8" s="188" t="n">
        <v>44</v>
      </c>
      <c r="H8" s="189" t="inlineStr">
        <is>
          <t>+55 (62) 98626-6626</t>
        </is>
      </c>
      <c r="I8" s="189" t="inlineStr">
        <is>
          <t>Goiânia</t>
        </is>
      </c>
      <c r="J8" s="189" t="inlineStr">
        <is>
          <t>Não</t>
        </is>
      </c>
      <c r="K8" s="189" t="inlineStr">
        <is>
          <t>Gisele</t>
        </is>
      </c>
      <c r="L8" s="189" t="inlineStr">
        <is>
          <t>62 98114-5347</t>
        </is>
      </c>
      <c r="M8" s="189" t="inlineStr">
        <is>
          <t>Bruno</t>
        </is>
      </c>
      <c r="N8" s="189" t="inlineStr">
        <is>
          <t>62 98466-6695</t>
        </is>
      </c>
      <c r="O8" s="189" t="inlineStr">
        <is>
          <t>Sim, abelhas</t>
        </is>
      </c>
      <c r="P8" s="189" t="inlineStr">
        <is>
          <t>1981-07-17</t>
        </is>
      </c>
      <c r="Q8" s="196" t="inlineStr">
        <is>
          <t>EFRAIM</t>
        </is>
      </c>
      <c r="R8" s="191" t="n">
        <v>16</v>
      </c>
    </row>
    <row r="9">
      <c r="A9" s="188" t="n">
        <v>8</v>
      </c>
      <c r="B9" s="189" t="inlineStr">
        <is>
          <t>Ana Luiza Gonçalves Bueno</t>
        </is>
      </c>
      <c r="C9" s="188" t="inlineStr">
        <is>
          <t>G</t>
        </is>
      </c>
      <c r="D9" s="188" t="inlineStr">
        <is>
          <t>F</t>
        </is>
      </c>
      <c r="E9" s="188" t="n">
        <v>70</v>
      </c>
      <c r="F9" s="188" t="n">
        <v>1.64</v>
      </c>
      <c r="G9" s="188" t="n">
        <v>53</v>
      </c>
      <c r="H9" s="189" t="inlineStr">
        <is>
          <t>+55 (01) 56298-1816</t>
        </is>
      </c>
      <c r="I9" s="189" t="inlineStr">
        <is>
          <t>Goiana</t>
        </is>
      </c>
      <c r="J9" s="189" t="inlineStr">
        <is>
          <t>Fabiano Pereira</t>
        </is>
      </c>
      <c r="K9" s="189" t="inlineStr">
        <is>
          <t>Fernanda</t>
        </is>
      </c>
      <c r="L9" s="189" t="inlineStr">
        <is>
          <t>(061) 99270-5252</t>
        </is>
      </c>
      <c r="M9" s="189" t="inlineStr">
        <is>
          <t>Luciano</t>
        </is>
      </c>
      <c r="N9" s="189" t="inlineStr">
        <is>
          <t>(061) 98431-9558</t>
        </is>
      </c>
      <c r="O9" s="189" t="inlineStr">
        <is>
          <t>Não</t>
        </is>
      </c>
      <c r="P9" s="189" t="inlineStr">
        <is>
          <t>1973-01-21</t>
        </is>
      </c>
      <c r="Q9" s="195" t="inlineStr">
        <is>
          <t>Judá</t>
        </is>
      </c>
      <c r="R9" s="191" t="n">
        <v>40</v>
      </c>
    </row>
    <row r="10">
      <c r="A10" s="188" t="n">
        <v>9</v>
      </c>
      <c r="B10" s="189" t="inlineStr">
        <is>
          <t>Ana Luiza Vaz Carvalho</t>
        </is>
      </c>
      <c r="C10" s="188" t="inlineStr">
        <is>
          <t>M</t>
        </is>
      </c>
      <c r="D10" s="188" t="inlineStr">
        <is>
          <t>F</t>
        </is>
      </c>
      <c r="E10" s="188" t="n">
        <v>59</v>
      </c>
      <c r="F10" s="188" t="n">
        <v>1.63</v>
      </c>
      <c r="G10" s="188" t="n">
        <v>27</v>
      </c>
      <c r="H10" s="189" t="inlineStr">
        <is>
          <t>+55 (62) 99321-9967</t>
        </is>
      </c>
      <c r="I10" s="189" t="inlineStr">
        <is>
          <t>Goiânia</t>
        </is>
      </c>
      <c r="J10" s="189" t="inlineStr">
        <is>
          <t>Julia Jayme. Foi da minha turma de faculdade.</t>
        </is>
      </c>
      <c r="K10" s="189" t="inlineStr">
        <is>
          <t>Marlene de Oliveira Vaz Carvalho</t>
        </is>
      </c>
      <c r="L10" s="189" t="inlineStr">
        <is>
          <t>62981549705</t>
        </is>
      </c>
      <c r="M10" s="189" t="inlineStr">
        <is>
          <t>Elivar Antonio de Carvalho</t>
        </is>
      </c>
      <c r="N10" s="189" t="inlineStr">
        <is>
          <t>62981654656</t>
        </is>
      </c>
      <c r="O10" s="189" t="inlineStr">
        <is>
          <t>Não</t>
        </is>
      </c>
      <c r="P10" s="189" t="inlineStr">
        <is>
          <t>1998-05-19</t>
        </is>
      </c>
      <c r="Q10" s="248" t="inlineStr">
        <is>
          <t>Zabulom</t>
        </is>
      </c>
      <c r="R10" s="191" t="inlineStr"/>
    </row>
    <row r="11">
      <c r="A11" s="188" t="n">
        <v>10</v>
      </c>
      <c r="B11" s="189" t="inlineStr">
        <is>
          <t>Anna Clara Silva Guimarães</t>
        </is>
      </c>
      <c r="C11" s="188" t="inlineStr">
        <is>
          <t>P</t>
        </is>
      </c>
      <c r="D11" s="188" t="inlineStr">
        <is>
          <t>F</t>
        </is>
      </c>
      <c r="E11" s="188" t="n">
        <v>50</v>
      </c>
      <c r="F11" s="188" t="n">
        <v>1.5</v>
      </c>
      <c r="G11" s="188" t="n">
        <v>22</v>
      </c>
      <c r="H11" s="189" t="inlineStr">
        <is>
          <t>+55 (62) 99325-0970</t>
        </is>
      </c>
      <c r="I11" s="189" t="inlineStr">
        <is>
          <t>Goiânia</t>
        </is>
      </c>
      <c r="J11" s="189" t="inlineStr">
        <is>
          <t>Luara Couto</t>
        </is>
      </c>
      <c r="K11" s="189" t="inlineStr">
        <is>
          <t>Marcos Augusto</t>
        </is>
      </c>
      <c r="L11" s="189" t="inlineStr">
        <is>
          <t>62984467506</t>
        </is>
      </c>
      <c r="M11" s="189" t="inlineStr">
        <is>
          <t>Camila</t>
        </is>
      </c>
      <c r="N11" s="189" t="inlineStr">
        <is>
          <t>62993889308</t>
        </is>
      </c>
      <c r="O11" s="189" t="inlineStr">
        <is>
          <t>Não</t>
        </is>
      </c>
      <c r="P11" s="189" t="inlineStr">
        <is>
          <t>2003-05-15</t>
        </is>
      </c>
      <c r="Q11" s="195" t="inlineStr">
        <is>
          <t>Judá</t>
        </is>
      </c>
      <c r="R11" s="191" t="inlineStr"/>
    </row>
    <row r="12">
      <c r="A12" s="188" t="n">
        <v>11</v>
      </c>
      <c r="B12" s="189" t="inlineStr">
        <is>
          <t>Antônio Francisco de Oliveira</t>
        </is>
      </c>
      <c r="C12" s="188" t="inlineStr">
        <is>
          <t>G</t>
        </is>
      </c>
      <c r="D12" s="188" t="inlineStr">
        <is>
          <t>M</t>
        </is>
      </c>
      <c r="E12" s="188" t="n">
        <v>86</v>
      </c>
      <c r="F12" s="188" t="n">
        <v>1.78</v>
      </c>
      <c r="G12" s="188" t="n">
        <v>52</v>
      </c>
      <c r="H12" s="189" t="inlineStr">
        <is>
          <t>+55 (62) 98561-2097</t>
        </is>
      </c>
      <c r="I12" s="189" t="inlineStr">
        <is>
          <t>Goiânia</t>
        </is>
      </c>
      <c r="J12" s="189" t="inlineStr">
        <is>
          <t>Não</t>
        </is>
      </c>
      <c r="K12" s="189" t="inlineStr">
        <is>
          <t>Marciella  - minha esposa (62) 98424-2802</t>
        </is>
      </c>
      <c r="L12" s="189" t="inlineStr">
        <is>
          <t>(62) 98424-2802</t>
        </is>
      </c>
      <c r="M12" s="189" t="inlineStr">
        <is>
          <t>Gustavo Henrique  - Meu filho (62) 99685-0807</t>
        </is>
      </c>
      <c r="N12" s="189" t="inlineStr">
        <is>
          <t>(62) 99685-0807</t>
        </is>
      </c>
      <c r="O12" s="189" t="inlineStr">
        <is>
          <t>Não</t>
        </is>
      </c>
      <c r="P12" s="189" t="inlineStr">
        <is>
          <t>1973-09-18</t>
        </is>
      </c>
      <c r="Q12" s="195" t="inlineStr">
        <is>
          <t>Judá</t>
        </is>
      </c>
      <c r="R12" s="191" t="inlineStr"/>
    </row>
    <row r="13">
      <c r="A13" s="188" t="n">
        <v>12</v>
      </c>
      <c r="B13" s="189" t="inlineStr">
        <is>
          <t>Ariane Dias da Luz</t>
        </is>
      </c>
      <c r="C13" s="188" t="inlineStr">
        <is>
          <t>M</t>
        </is>
      </c>
      <c r="D13" s="188" t="inlineStr">
        <is>
          <t>F</t>
        </is>
      </c>
      <c r="E13" s="188" t="n">
        <v>72</v>
      </c>
      <c r="F13" s="188" t="n">
        <v>1.65</v>
      </c>
      <c r="G13" s="188" t="n">
        <v>30</v>
      </c>
      <c r="H13" s="189" t="inlineStr">
        <is>
          <t>+55 (62) 98237-5037</t>
        </is>
      </c>
      <c r="I13" s="189" t="inlineStr">
        <is>
          <t>Aparecida de Goiania</t>
        </is>
      </c>
      <c r="J13" s="189" t="inlineStr">
        <is>
          <t>Sim Marcos Felipe</t>
        </is>
      </c>
      <c r="K13" s="189" t="inlineStr">
        <is>
          <t>Ciane</t>
        </is>
      </c>
      <c r="L13" s="189" t="inlineStr">
        <is>
          <t>62 982353865</t>
        </is>
      </c>
      <c r="M13" s="189" t="inlineStr">
        <is>
          <t>Tuana</t>
        </is>
      </c>
      <c r="N13" s="189" t="inlineStr">
        <is>
          <t>62 9 98080605</t>
        </is>
      </c>
      <c r="O13" s="189" t="inlineStr">
        <is>
          <t>Nao</t>
        </is>
      </c>
      <c r="P13" s="189" t="inlineStr">
        <is>
          <t>1995-11-19</t>
        </is>
      </c>
      <c r="Q13" s="248" t="inlineStr">
        <is>
          <t>Zabulom</t>
        </is>
      </c>
      <c r="R13" s="191" t="n">
        <v>92</v>
      </c>
    </row>
    <row r="14">
      <c r="A14" s="188" t="n">
        <v>13</v>
      </c>
      <c r="B14" s="189" t="inlineStr">
        <is>
          <t>Augustinho Severino da Cruz</t>
        </is>
      </c>
      <c r="C14" s="188" t="inlineStr">
        <is>
          <t>G</t>
        </is>
      </c>
      <c r="D14" s="188" t="inlineStr">
        <is>
          <t>M</t>
        </is>
      </c>
      <c r="E14" s="188" t="n">
        <v>84</v>
      </c>
      <c r="F14" s="188" t="n">
        <v>1.8</v>
      </c>
      <c r="G14" s="188" t="n">
        <v>60</v>
      </c>
      <c r="H14" s="189" t="inlineStr">
        <is>
          <t>+55 (63) 92844-486</t>
        </is>
      </c>
      <c r="I14" s="189" t="inlineStr">
        <is>
          <t>Paranã</t>
        </is>
      </c>
      <c r="J14" s="189" t="inlineStr">
        <is>
          <t>sim</t>
        </is>
      </c>
      <c r="K14" s="189" t="inlineStr">
        <is>
          <t>Vinicius Roberto Da Cruz</t>
        </is>
      </c>
      <c r="L14" s="189" t="inlineStr">
        <is>
          <t>64996480435</t>
        </is>
      </c>
      <c r="M14" s="189" t="inlineStr">
        <is>
          <t>Eneida Alexo Silva Cruz</t>
        </is>
      </c>
      <c r="N14" s="189" t="inlineStr">
        <is>
          <t>+55 63 8490-7234</t>
        </is>
      </c>
      <c r="O14" s="189" t="inlineStr">
        <is>
          <t>não</t>
        </is>
      </c>
      <c r="P14" s="189" t="inlineStr">
        <is>
          <t>1965-08-30</t>
        </is>
      </c>
      <c r="Q14" s="248" t="inlineStr">
        <is>
          <t>Zabulom</t>
        </is>
      </c>
      <c r="R14" s="191" t="inlineStr"/>
    </row>
    <row r="15">
      <c r="A15" s="188" t="n">
        <v>14</v>
      </c>
      <c r="B15" s="189" t="inlineStr">
        <is>
          <t>Bruna Amaral Martins</t>
        </is>
      </c>
      <c r="C15" s="188" t="inlineStr">
        <is>
          <t>P</t>
        </is>
      </c>
      <c r="D15" s="188" t="inlineStr">
        <is>
          <t>F</t>
        </is>
      </c>
      <c r="E15" s="188" t="n">
        <v>60</v>
      </c>
      <c r="F15" s="188" t="n">
        <v>1.64</v>
      </c>
      <c r="G15" s="188" t="n">
        <v>26</v>
      </c>
      <c r="H15" s="189" t="inlineStr">
        <is>
          <t>+55 (62) 99908-1082</t>
        </is>
      </c>
      <c r="I15" s="189" t="inlineStr">
        <is>
          <t>Goiânia</t>
        </is>
      </c>
      <c r="J15" s="189" t="inlineStr">
        <is>
          <t>Eliane Martins Nunes (mãe)</t>
        </is>
      </c>
      <c r="K15" s="189" t="inlineStr">
        <is>
          <t>Eliane</t>
        </is>
      </c>
      <c r="L15" s="189" t="inlineStr">
        <is>
          <t>62999711082</t>
        </is>
      </c>
      <c r="M15" s="189" t="inlineStr">
        <is>
          <t>Sérgio</t>
        </is>
      </c>
      <c r="N15" s="189" t="inlineStr">
        <is>
          <t>6296968688</t>
        </is>
      </c>
      <c r="O15" s="189" t="inlineStr">
        <is>
          <t>Não</t>
        </is>
      </c>
      <c r="P15" s="189" t="inlineStr">
        <is>
          <t>2000-03-22</t>
        </is>
      </c>
      <c r="Q15" s="196" t="inlineStr">
        <is>
          <t>EFRAIM</t>
        </is>
      </c>
      <c r="R15" s="191" t="inlineStr"/>
    </row>
    <row r="16">
      <c r="A16" s="188" t="n">
        <v>15</v>
      </c>
      <c r="B16" s="189" t="inlineStr">
        <is>
          <t>Bruna Tayssa Rockenbach Padilha</t>
        </is>
      </c>
      <c r="C16" s="188" t="inlineStr">
        <is>
          <t>G</t>
        </is>
      </c>
      <c r="D16" s="188" t="inlineStr">
        <is>
          <t>F</t>
        </is>
      </c>
      <c r="E16" s="188" t="n">
        <v>80</v>
      </c>
      <c r="F16" s="188" t="n">
        <v>1.75</v>
      </c>
      <c r="G16" s="188" t="n">
        <v>33</v>
      </c>
      <c r="H16" s="189" t="inlineStr">
        <is>
          <t>+55 (66) 98446-8785</t>
        </is>
      </c>
      <c r="I16" s="189" t="inlineStr">
        <is>
          <t>Canarana</t>
        </is>
      </c>
      <c r="J16" s="189" t="inlineStr">
        <is>
          <t>Sim meu esposo, Raul.</t>
        </is>
      </c>
      <c r="K16" s="189" t="inlineStr">
        <is>
          <t>Camila Padilha</t>
        </is>
      </c>
      <c r="L16" s="189" t="inlineStr">
        <is>
          <t>66.9.96215646</t>
        </is>
      </c>
      <c r="M16" s="189" t="inlineStr">
        <is>
          <t>Franciele Passold</t>
        </is>
      </c>
      <c r="N16" s="189" t="inlineStr">
        <is>
          <t>66.9.92076690</t>
        </is>
      </c>
      <c r="O16" s="189" t="inlineStr">
        <is>
          <t>Não</t>
        </is>
      </c>
      <c r="P16" s="189" t="inlineStr">
        <is>
          <t>1992-07-15</t>
        </is>
      </c>
      <c r="Q16" s="195" t="inlineStr">
        <is>
          <t>Judá</t>
        </is>
      </c>
      <c r="R16" s="191" t="inlineStr"/>
    </row>
    <row r="17">
      <c r="A17" s="188" t="n">
        <v>16</v>
      </c>
      <c r="B17" s="189" t="inlineStr">
        <is>
          <t>Bruno Aguiar</t>
        </is>
      </c>
      <c r="C17" s="188" t="inlineStr">
        <is>
          <t>G</t>
        </is>
      </c>
      <c r="D17" s="188" t="inlineStr">
        <is>
          <t>M</t>
        </is>
      </c>
      <c r="E17" s="188" t="n">
        <v>85</v>
      </c>
      <c r="F17" s="188" t="n">
        <v>1.86</v>
      </c>
      <c r="G17" s="188" t="n">
        <v>43</v>
      </c>
      <c r="H17" s="189" t="inlineStr">
        <is>
          <t>+55 (62) 98466-6696</t>
        </is>
      </c>
      <c r="I17" s="189" t="inlineStr">
        <is>
          <t>Goiânia</t>
        </is>
      </c>
      <c r="J17" s="189" t="inlineStr">
        <is>
          <t>Não</t>
        </is>
      </c>
      <c r="K17" s="189" t="inlineStr">
        <is>
          <t>Bernard</t>
        </is>
      </c>
      <c r="L17" s="189" t="inlineStr">
        <is>
          <t>62 99857-6666</t>
        </is>
      </c>
      <c r="M17" s="189" t="inlineStr">
        <is>
          <t>Beatriz</t>
        </is>
      </c>
      <c r="N17" s="189" t="inlineStr">
        <is>
          <t>62 99614-7908</t>
        </is>
      </c>
      <c r="O17" s="189" t="inlineStr">
        <is>
          <t>Não</t>
        </is>
      </c>
      <c r="P17" s="189" t="inlineStr">
        <is>
          <t>1982-06-19</t>
        </is>
      </c>
      <c r="Q17" s="190" t="inlineStr">
        <is>
          <t>Benjamim</t>
        </is>
      </c>
      <c r="R17" s="191" t="n">
        <v>7</v>
      </c>
    </row>
    <row r="18">
      <c r="A18" s="188" t="n">
        <v>17</v>
      </c>
      <c r="B18" s="189" t="inlineStr">
        <is>
          <t>Caio Rabelo da Silva Furtado</t>
        </is>
      </c>
      <c r="C18" s="188" t="inlineStr">
        <is>
          <t>M</t>
        </is>
      </c>
      <c r="D18" s="188" t="inlineStr">
        <is>
          <t>M</t>
        </is>
      </c>
      <c r="E18" s="188" t="n">
        <v>64</v>
      </c>
      <c r="F18" s="188" t="n">
        <v>1.84</v>
      </c>
      <c r="G18" s="188" t="n">
        <v>22</v>
      </c>
      <c r="H18" s="189" t="inlineStr">
        <is>
          <t>+55 (62) 99524-6943</t>
        </is>
      </c>
      <c r="I18" s="189" t="inlineStr">
        <is>
          <t>Aparecida de Goiânia</t>
        </is>
      </c>
      <c r="J18" s="189" t="inlineStr">
        <is>
          <t>Não</t>
        </is>
      </c>
      <c r="K18" s="189" t="inlineStr">
        <is>
          <t>Flávia (mãe)</t>
        </is>
      </c>
      <c r="L18" s="189" t="inlineStr">
        <is>
          <t>62 992234808</t>
        </is>
      </c>
      <c r="M18" s="189" t="inlineStr">
        <is>
          <t>Ronaldo (Pai)</t>
        </is>
      </c>
      <c r="N18" s="189" t="inlineStr">
        <is>
          <t>62 992420035</t>
        </is>
      </c>
      <c r="O18" s="189" t="inlineStr">
        <is>
          <t>Não</t>
        </is>
      </c>
      <c r="P18" s="189" t="inlineStr">
        <is>
          <t>2004-02-10</t>
        </is>
      </c>
      <c r="Q18" s="195" t="inlineStr">
        <is>
          <t>Judá</t>
        </is>
      </c>
      <c r="R18" s="191" t="inlineStr"/>
    </row>
    <row r="19">
      <c r="A19" s="188" t="n">
        <v>18</v>
      </c>
      <c r="B19" s="189" t="inlineStr">
        <is>
          <t>Carla Rodrigues Ferreira</t>
        </is>
      </c>
      <c r="C19" s="188" t="inlineStr">
        <is>
          <t>P</t>
        </is>
      </c>
      <c r="D19" s="188" t="inlineStr">
        <is>
          <t>F</t>
        </is>
      </c>
      <c r="E19" s="188" t="n">
        <v>60</v>
      </c>
      <c r="F19" s="188" t="n">
        <v>1.65</v>
      </c>
      <c r="G19" s="188" t="n">
        <v>46</v>
      </c>
      <c r="H19" s="189" t="inlineStr">
        <is>
          <t>+55 (62) 98325-7488</t>
        </is>
      </c>
      <c r="I19" s="189" t="inlineStr">
        <is>
          <t>Goiânia</t>
        </is>
      </c>
      <c r="J19" s="189" t="inlineStr">
        <is>
          <t>Não</t>
        </is>
      </c>
      <c r="K19" s="189" t="inlineStr">
        <is>
          <t>Carolline Rodrigues</t>
        </is>
      </c>
      <c r="L19" s="189" t="inlineStr">
        <is>
          <t>(62) 98145 1313</t>
        </is>
      </c>
      <c r="M19" s="189" t="inlineStr">
        <is>
          <t>Camila Rodrigues</t>
        </is>
      </c>
      <c r="N19" s="189" t="inlineStr">
        <is>
          <t>(62) 98452 5353</t>
        </is>
      </c>
      <c r="O19" s="189" t="inlineStr">
        <is>
          <t>Não</t>
        </is>
      </c>
      <c r="P19" s="189" t="inlineStr">
        <is>
          <t>1979-08-06</t>
        </is>
      </c>
      <c r="Q19" s="198" t="inlineStr">
        <is>
          <t>Gad</t>
        </is>
      </c>
      <c r="R19" s="191" t="inlineStr"/>
    </row>
    <row r="20">
      <c r="A20" s="188" t="n">
        <v>19</v>
      </c>
      <c r="B20" s="189" t="inlineStr">
        <is>
          <t>Carlos Bruno Rodrigues</t>
        </is>
      </c>
      <c r="C20" s="188" t="inlineStr">
        <is>
          <t>GG</t>
        </is>
      </c>
      <c r="D20" s="188" t="inlineStr">
        <is>
          <t>M</t>
        </is>
      </c>
      <c r="E20" s="188" t="n">
        <v>89</v>
      </c>
      <c r="F20" s="188" t="n">
        <v>1.78</v>
      </c>
      <c r="G20" s="188" t="n">
        <v>49</v>
      </c>
      <c r="H20" s="189" t="inlineStr">
        <is>
          <t>+55 (62) 99639-1240</t>
        </is>
      </c>
      <c r="I20" s="189" t="inlineStr">
        <is>
          <t>Goiânia</t>
        </is>
      </c>
      <c r="J20" s="189" t="inlineStr">
        <is>
          <t>esposa Karla Regina da Silva Rodrigues</t>
        </is>
      </c>
      <c r="K20" s="189" t="inlineStr">
        <is>
          <t>Giovanna</t>
        </is>
      </c>
      <c r="L20" s="189" t="inlineStr">
        <is>
          <t>62999518515</t>
        </is>
      </c>
      <c r="M20" s="189" t="inlineStr">
        <is>
          <t>Gabriella</t>
        </is>
      </c>
      <c r="N20" s="189" t="inlineStr">
        <is>
          <t>62992448557</t>
        </is>
      </c>
      <c r="O20" s="189" t="inlineStr">
        <is>
          <t>não</t>
        </is>
      </c>
      <c r="P20" s="189" t="inlineStr">
        <is>
          <t>1976-05-27</t>
        </is>
      </c>
      <c r="Q20" s="194" t="inlineStr">
        <is>
          <t>Simeão</t>
        </is>
      </c>
      <c r="R20" s="191" t="n">
        <v>71</v>
      </c>
    </row>
    <row r="21">
      <c r="A21" s="188" t="n">
        <v>20</v>
      </c>
      <c r="B21" s="189" t="inlineStr">
        <is>
          <t>Carlos euripedes Tavares</t>
        </is>
      </c>
      <c r="C21" s="188" t="inlineStr">
        <is>
          <t>M</t>
        </is>
      </c>
      <c r="D21" s="188" t="inlineStr">
        <is>
          <t>M</t>
        </is>
      </c>
      <c r="E21" s="188" t="n">
        <v>70</v>
      </c>
      <c r="F21" s="188" t="n">
        <v>1.6</v>
      </c>
      <c r="G21" s="188" t="n">
        <v>71</v>
      </c>
      <c r="H21" s="189" t="inlineStr">
        <is>
          <t>+55 (62) 99844-3069</t>
        </is>
      </c>
      <c r="I21" s="189" t="inlineStr">
        <is>
          <t>Goiânia</t>
        </is>
      </c>
      <c r="J21" s="189" t="inlineStr">
        <is>
          <t>Não</t>
        </is>
      </c>
      <c r="K21" s="189" t="inlineStr">
        <is>
          <t>Leandro</t>
        </is>
      </c>
      <c r="L21" s="189" t="inlineStr">
        <is>
          <t>62-999756864</t>
        </is>
      </c>
      <c r="M21" s="189" t="inlineStr">
        <is>
          <t>Juliana 999756678</t>
        </is>
      </c>
      <c r="N21" s="189" t="inlineStr">
        <is>
          <t>62-999756678</t>
        </is>
      </c>
      <c r="O21" s="189" t="inlineStr">
        <is>
          <t>Não</t>
        </is>
      </c>
      <c r="P21" s="189" t="inlineStr">
        <is>
          <t>1954-09-10</t>
        </is>
      </c>
      <c r="Q21" s="190" t="inlineStr">
        <is>
          <t>Benjamim</t>
        </is>
      </c>
      <c r="R21" s="191" t="inlineStr"/>
    </row>
    <row r="22">
      <c r="A22" s="188" t="n">
        <v>21</v>
      </c>
      <c r="B22" s="189" t="inlineStr">
        <is>
          <t>Carlos Henrique de Souza Dourado</t>
        </is>
      </c>
      <c r="C22" s="188" t="inlineStr">
        <is>
          <t>GG</t>
        </is>
      </c>
      <c r="D22" s="188" t="inlineStr">
        <is>
          <t>M</t>
        </is>
      </c>
      <c r="E22" s="188" t="n">
        <v>100</v>
      </c>
      <c r="F22" s="188" t="n">
        <v>1.79</v>
      </c>
      <c r="G22" s="188" t="n">
        <v>32</v>
      </c>
      <c r="H22" s="189" t="inlineStr">
        <is>
          <t>+55 (62) 99461-5119</t>
        </is>
      </c>
      <c r="I22" s="189" t="inlineStr">
        <is>
          <t>Goianira</t>
        </is>
      </c>
      <c r="J22" s="189" t="inlineStr">
        <is>
          <t>Não</t>
        </is>
      </c>
      <c r="K22" s="189" t="inlineStr">
        <is>
          <t>Carlos Cesar de Souza Dourado</t>
        </is>
      </c>
      <c r="L22" s="189" t="inlineStr">
        <is>
          <t>62985200025</t>
        </is>
      </c>
      <c r="M22" s="189" t="inlineStr">
        <is>
          <t>Julio Wanderson</t>
        </is>
      </c>
      <c r="N22" s="189" t="inlineStr">
        <is>
          <t>62996329737</t>
        </is>
      </c>
      <c r="O22" s="189" t="inlineStr">
        <is>
          <t>Não</t>
        </is>
      </c>
      <c r="P22" s="189" t="inlineStr">
        <is>
          <t>1994-02-24</t>
        </is>
      </c>
      <c r="Q22" s="193" t="inlineStr">
        <is>
          <t>Levi</t>
        </is>
      </c>
      <c r="R22" s="191" t="n">
        <v>105</v>
      </c>
    </row>
    <row r="23">
      <c r="A23" s="188" t="n">
        <v>22</v>
      </c>
      <c r="B23" s="189" t="inlineStr">
        <is>
          <t>Cassiano Resende</t>
        </is>
      </c>
      <c r="C23" s="188" t="inlineStr">
        <is>
          <t>GG</t>
        </is>
      </c>
      <c r="D23" s="188" t="inlineStr">
        <is>
          <t>M</t>
        </is>
      </c>
      <c r="E23" s="188" t="n">
        <v>89</v>
      </c>
      <c r="F23" s="188" t="n">
        <v>1.75</v>
      </c>
      <c r="G23" s="188" t="n">
        <v>36</v>
      </c>
      <c r="H23" s="189" t="inlineStr">
        <is>
          <t>+55 (62) 98500-0392</t>
        </is>
      </c>
      <c r="I23" s="189" t="inlineStr">
        <is>
          <t>Mairipotaba</t>
        </is>
      </c>
      <c r="J23" s="189" t="inlineStr">
        <is>
          <t>Fabricio Michel</t>
        </is>
      </c>
      <c r="K23" s="189" t="inlineStr">
        <is>
          <t>Fabricio Michel</t>
        </is>
      </c>
      <c r="L23" s="189" t="inlineStr">
        <is>
          <t>62985000392</t>
        </is>
      </c>
      <c r="M23" s="189" t="inlineStr">
        <is>
          <t>Renilda Pereira</t>
        </is>
      </c>
      <c r="N23" s="189" t="inlineStr">
        <is>
          <t>+32 476 59 39 22</t>
        </is>
      </c>
      <c r="O23" s="189" t="inlineStr">
        <is>
          <t>Não</t>
        </is>
      </c>
      <c r="P23" s="189" t="inlineStr">
        <is>
          <t>1989-07-22</t>
        </is>
      </c>
      <c r="Q23" s="192" t="inlineStr">
        <is>
          <t>Rubem</t>
        </is>
      </c>
      <c r="R23" s="191" t="inlineStr"/>
    </row>
    <row r="24">
      <c r="A24" s="188" t="n">
        <v>23</v>
      </c>
      <c r="B24" s="189" t="inlineStr">
        <is>
          <t>Catarina Elzi de Oliveira</t>
        </is>
      </c>
      <c r="C24" s="188" t="inlineStr">
        <is>
          <t>G</t>
        </is>
      </c>
      <c r="D24" s="188" t="inlineStr">
        <is>
          <t>F</t>
        </is>
      </c>
      <c r="E24" s="188" t="n">
        <v>70</v>
      </c>
      <c r="F24" s="188" t="n">
        <v>1.56</v>
      </c>
      <c r="G24" s="188" t="n">
        <v>72</v>
      </c>
      <c r="H24" s="189" t="inlineStr">
        <is>
          <t>+55 (34) 99902-0453</t>
        </is>
      </c>
      <c r="I24" s="189" t="inlineStr">
        <is>
          <t>Jussara</t>
        </is>
      </c>
      <c r="J24" s="189" t="inlineStr">
        <is>
          <t>Sim. Eliete e Adejar.</t>
        </is>
      </c>
      <c r="K24" s="189" t="inlineStr">
        <is>
          <t>Geovana Guimarães de Oliveira</t>
        </is>
      </c>
      <c r="L24" s="189" t="inlineStr">
        <is>
          <t>62982185298</t>
        </is>
      </c>
      <c r="M24" s="189" t="inlineStr">
        <is>
          <t>Thaís Guimarães de Oliveira</t>
        </is>
      </c>
      <c r="N24" s="189" t="inlineStr">
        <is>
          <t>62982185297</t>
        </is>
      </c>
      <c r="O24" s="189" t="inlineStr">
        <is>
          <t>Que saiba não</t>
        </is>
      </c>
      <c r="P24" s="189" t="inlineStr">
        <is>
          <t>1953-10-04</t>
        </is>
      </c>
      <c r="Q24" s="199" t="inlineStr">
        <is>
          <t>Issacar</t>
        </is>
      </c>
      <c r="R24" s="191" t="inlineStr"/>
    </row>
    <row r="25">
      <c r="A25" s="188" t="n">
        <v>24</v>
      </c>
      <c r="B25" s="189" t="inlineStr">
        <is>
          <t>Celma Maria de Queiroz Silva</t>
        </is>
      </c>
      <c r="C25" s="188" t="inlineStr">
        <is>
          <t>M</t>
        </is>
      </c>
      <c r="D25" s="188" t="inlineStr">
        <is>
          <t>F</t>
        </is>
      </c>
      <c r="E25" s="188" t="n">
        <v>70</v>
      </c>
      <c r="F25" s="188" t="n">
        <v>1.67</v>
      </c>
      <c r="G25" s="188" t="n">
        <v>66</v>
      </c>
      <c r="H25" s="189" t="inlineStr">
        <is>
          <t>+55 (62) 98208-2395</t>
        </is>
      </c>
      <c r="I25" s="189" t="inlineStr">
        <is>
          <t>Goiânia</t>
        </is>
      </c>
      <c r="J25" s="189" t="inlineStr">
        <is>
          <t>Não</t>
        </is>
      </c>
      <c r="K25" s="189" t="inlineStr">
        <is>
          <t>Rodrigo Queiroz</t>
        </is>
      </c>
      <c r="L25" s="189" t="inlineStr">
        <is>
          <t>62 9 9614-2740</t>
        </is>
      </c>
      <c r="M25" s="189" t="inlineStr">
        <is>
          <t>Jonas Manoel</t>
        </is>
      </c>
      <c r="N25" s="189" t="inlineStr">
        <is>
          <t>62 9 8328-5140</t>
        </is>
      </c>
      <c r="O25" s="189" t="inlineStr">
        <is>
          <t>Alergia a Sulfa e Penicilina</t>
        </is>
      </c>
      <c r="P25" s="189" t="inlineStr">
        <is>
          <t>1959-08-24</t>
        </is>
      </c>
      <c r="Q25" s="192" t="inlineStr">
        <is>
          <t>Rubem</t>
        </is>
      </c>
      <c r="R25" s="191" t="inlineStr"/>
    </row>
    <row r="26">
      <c r="A26" s="188" t="n">
        <v>25</v>
      </c>
      <c r="B26" s="189" t="inlineStr">
        <is>
          <t>Charles Juliano Visconti</t>
        </is>
      </c>
      <c r="C26" s="188" t="inlineStr">
        <is>
          <t>GG</t>
        </is>
      </c>
      <c r="D26" s="188" t="inlineStr">
        <is>
          <t>M</t>
        </is>
      </c>
      <c r="E26" s="188" t="n">
        <v>86</v>
      </c>
      <c r="F26" s="188" t="n">
        <v>1.78</v>
      </c>
      <c r="G26" s="188" t="n">
        <v>49</v>
      </c>
      <c r="H26" s="189" t="inlineStr">
        <is>
          <t>+55 (66) 99911-3161</t>
        </is>
      </c>
      <c r="I26" s="189" t="inlineStr">
        <is>
          <t>Canarana</t>
        </is>
      </c>
      <c r="J26" s="189" t="inlineStr">
        <is>
          <t>Não</t>
        </is>
      </c>
      <c r="K26" s="189" t="inlineStr">
        <is>
          <t>Staney</t>
        </is>
      </c>
      <c r="L26" s="189" t="inlineStr">
        <is>
          <t>66 999888998</t>
        </is>
      </c>
      <c r="M26" s="189" t="inlineStr">
        <is>
          <t>Shirlei</t>
        </is>
      </c>
      <c r="N26" s="189" t="inlineStr">
        <is>
          <t>47 999834854</t>
        </is>
      </c>
      <c r="O26" s="189" t="inlineStr">
        <is>
          <t>Não</t>
        </is>
      </c>
      <c r="P26" s="189" t="inlineStr">
        <is>
          <t>1976-07-29</t>
        </is>
      </c>
      <c r="Q26" s="198" t="inlineStr">
        <is>
          <t>Gad</t>
        </is>
      </c>
      <c r="R26" s="191" t="inlineStr"/>
    </row>
    <row r="27">
      <c r="A27" s="188" t="n">
        <v>26</v>
      </c>
      <c r="B27" s="189" t="inlineStr">
        <is>
          <t>CIRILO DE JESUS SOARES</t>
        </is>
      </c>
      <c r="C27" s="188" t="inlineStr">
        <is>
          <t>G</t>
        </is>
      </c>
      <c r="D27" s="188" t="inlineStr">
        <is>
          <t>M</t>
        </is>
      </c>
      <c r="E27" s="188" t="n">
        <v>95</v>
      </c>
      <c r="F27" s="188" t="n">
        <v>1.75</v>
      </c>
      <c r="G27" s="188" t="n">
        <v>46</v>
      </c>
      <c r="H27" s="189" t="inlineStr">
        <is>
          <t>+55 (62) 99922-2008</t>
        </is>
      </c>
      <c r="I27" s="189" t="inlineStr">
        <is>
          <t>Goiânia</t>
        </is>
      </c>
      <c r="J27" s="189" t="inlineStr">
        <is>
          <t>Luciana Costa de Oliveira Soares</t>
        </is>
      </c>
      <c r="K27" s="189" t="inlineStr">
        <is>
          <t>Maria Aparecida</t>
        </is>
      </c>
      <c r="L27" s="189" t="inlineStr">
        <is>
          <t>62993997089</t>
        </is>
      </c>
      <c r="M27" s="189" t="inlineStr">
        <is>
          <t>Pedro Henrique</t>
        </is>
      </c>
      <c r="N27" s="189" t="inlineStr">
        <is>
          <t>62994000079</t>
        </is>
      </c>
      <c r="O27" s="189" t="inlineStr">
        <is>
          <t>Não</t>
        </is>
      </c>
      <c r="P27" s="189" t="inlineStr">
        <is>
          <t>1980-03-18</t>
        </is>
      </c>
      <c r="Q27" s="196" t="inlineStr">
        <is>
          <t>EFRAIM</t>
        </is>
      </c>
      <c r="R27" s="191" t="n">
        <v>82</v>
      </c>
    </row>
    <row r="28">
      <c r="A28" s="188" t="n">
        <v>27</v>
      </c>
      <c r="B28" s="189" t="inlineStr">
        <is>
          <t>CLEONIS Pereira de Castro</t>
        </is>
      </c>
      <c r="C28" s="188" t="inlineStr">
        <is>
          <t>G</t>
        </is>
      </c>
      <c r="D28" s="188" t="inlineStr">
        <is>
          <t>M</t>
        </is>
      </c>
      <c r="E28" s="188" t="n">
        <v>78</v>
      </c>
      <c r="F28" s="188" t="n">
        <v>1.72</v>
      </c>
      <c r="G28" s="188" t="n">
        <v>66</v>
      </c>
      <c r="H28" s="189" t="inlineStr">
        <is>
          <t>+55 (62) 99958-1174</t>
        </is>
      </c>
      <c r="I28" s="189" t="inlineStr">
        <is>
          <t>Goiânia</t>
        </is>
      </c>
      <c r="J28" s="189" t="inlineStr">
        <is>
          <t>Sim</t>
        </is>
      </c>
      <c r="K28" s="189" t="inlineStr">
        <is>
          <t>Iraci</t>
        </is>
      </c>
      <c r="L28" s="189" t="inlineStr">
        <is>
          <t>62996745312</t>
        </is>
      </c>
      <c r="M28" s="189" t="inlineStr">
        <is>
          <t>Larissa</t>
        </is>
      </c>
      <c r="N28" s="189" t="inlineStr">
        <is>
          <t>62999765788</t>
        </is>
      </c>
      <c r="O28" s="189" t="inlineStr">
        <is>
          <t>Não</t>
        </is>
      </c>
      <c r="P28" s="189" t="inlineStr">
        <is>
          <t>2059-10-14</t>
        </is>
      </c>
      <c r="Q28" s="194" t="inlineStr">
        <is>
          <t>Simeão</t>
        </is>
      </c>
      <c r="R28" s="191" t="inlineStr"/>
    </row>
    <row r="29">
      <c r="A29" s="188" t="n">
        <v>28</v>
      </c>
      <c r="B29" s="189" t="inlineStr">
        <is>
          <t>cley Altair santos</t>
        </is>
      </c>
      <c r="C29" s="188" t="inlineStr">
        <is>
          <t>G</t>
        </is>
      </c>
      <c r="D29" s="188" t="inlineStr">
        <is>
          <t>M</t>
        </is>
      </c>
      <c r="E29" s="188" t="n">
        <v>84</v>
      </c>
      <c r="F29" s="188" t="n">
        <v>1.77</v>
      </c>
      <c r="G29" s="188" t="n">
        <v>48</v>
      </c>
      <c r="H29" s="189" t="inlineStr">
        <is>
          <t>+55 (62) 99404-2763</t>
        </is>
      </c>
      <c r="I29" s="189" t="inlineStr">
        <is>
          <t>Goiânia</t>
        </is>
      </c>
      <c r="J29" s="189" t="inlineStr">
        <is>
          <t>não</t>
        </is>
      </c>
      <c r="K29" s="189" t="inlineStr">
        <is>
          <t>filho João Vitor</t>
        </is>
      </c>
      <c r="L29" s="189" t="inlineStr">
        <is>
          <t>6295457305</t>
        </is>
      </c>
      <c r="M29" s="189" t="inlineStr">
        <is>
          <t>mãe celeste</t>
        </is>
      </c>
      <c r="N29" s="189" t="inlineStr">
        <is>
          <t>6281593412</t>
        </is>
      </c>
      <c r="O29" s="189" t="inlineStr">
        <is>
          <t>não</t>
        </is>
      </c>
      <c r="P29" s="189" t="inlineStr">
        <is>
          <t>1977-05-16</t>
        </is>
      </c>
      <c r="Q29" s="199" t="inlineStr">
        <is>
          <t>Issacar</t>
        </is>
      </c>
      <c r="R29" s="191" t="inlineStr"/>
    </row>
    <row r="30">
      <c r="A30" s="188" t="n">
        <v>29</v>
      </c>
      <c r="B30" s="189" t="inlineStr">
        <is>
          <t>CLEYTA FERREIRA DO COUTO</t>
        </is>
      </c>
      <c r="C30" s="188" t="inlineStr">
        <is>
          <t>G1</t>
        </is>
      </c>
      <c r="D30" s="188" t="inlineStr">
        <is>
          <t>F</t>
        </is>
      </c>
      <c r="E30" s="188" t="n">
        <v>120</v>
      </c>
      <c r="F30" s="188" t="n">
        <v>1.71</v>
      </c>
      <c r="G30" s="188" t="n">
        <v>44</v>
      </c>
      <c r="H30" s="189" t="inlineStr">
        <is>
          <t>+55 (62) 99808-5175</t>
        </is>
      </c>
      <c r="I30" s="189" t="inlineStr">
        <is>
          <t>Goiânia</t>
        </is>
      </c>
      <c r="J30" s="189" t="inlineStr">
        <is>
          <t>não</t>
        </is>
      </c>
      <c r="K30" s="189" t="inlineStr">
        <is>
          <t>Marido - Fernando</t>
        </is>
      </c>
      <c r="L30" s="189" t="inlineStr">
        <is>
          <t>(62) 99307-9547</t>
        </is>
      </c>
      <c r="M30" s="189" t="inlineStr">
        <is>
          <t>Pai - Sebastião</t>
        </is>
      </c>
      <c r="N30" s="189" t="inlineStr">
        <is>
          <t>(62) 99611-5175</t>
        </is>
      </c>
      <c r="O30" s="189" t="inlineStr">
        <is>
          <t>camarão, amendoin, coco, pelo de cachorro.</t>
        </is>
      </c>
      <c r="P30" s="189" t="inlineStr">
        <is>
          <t>1981-09-21</t>
        </is>
      </c>
      <c r="Q30" s="195" t="inlineStr">
        <is>
          <t>Judá</t>
        </is>
      </c>
      <c r="R30" s="191" t="inlineStr"/>
    </row>
    <row r="31">
      <c r="A31" s="188" t="n">
        <v>30</v>
      </c>
      <c r="B31" s="189" t="inlineStr">
        <is>
          <t>Diego Francisco dos Santos</t>
        </is>
      </c>
      <c r="C31" s="188" t="inlineStr">
        <is>
          <t>G</t>
        </is>
      </c>
      <c r="D31" s="188" t="inlineStr">
        <is>
          <t>M</t>
        </is>
      </c>
      <c r="E31" s="188" t="n">
        <v>79</v>
      </c>
      <c r="F31" s="188" t="n">
        <v>1.76</v>
      </c>
      <c r="G31" s="188" t="n">
        <v>31</v>
      </c>
      <c r="H31" s="189" t="inlineStr">
        <is>
          <t>+55 (62) 99201-8512</t>
        </is>
      </c>
      <c r="I31" s="189" t="inlineStr">
        <is>
          <t>Goiânia</t>
        </is>
      </c>
      <c r="J31" s="189" t="inlineStr">
        <is>
          <t>Nao</t>
        </is>
      </c>
      <c r="K31" s="189" t="inlineStr">
        <is>
          <t>Daniel</t>
        </is>
      </c>
      <c r="L31" s="189" t="inlineStr">
        <is>
          <t>62985630030</t>
        </is>
      </c>
      <c r="M31" s="189" t="inlineStr">
        <is>
          <t>Daniel</t>
        </is>
      </c>
      <c r="N31" s="189" t="inlineStr">
        <is>
          <t>62985630030</t>
        </is>
      </c>
      <c r="O31" s="189" t="inlineStr">
        <is>
          <t>Nao</t>
        </is>
      </c>
      <c r="P31" s="189" t="inlineStr">
        <is>
          <t>1994-11-29</t>
        </is>
      </c>
      <c r="Q31" s="193" t="inlineStr">
        <is>
          <t>Levi</t>
        </is>
      </c>
      <c r="R31" s="191" t="inlineStr"/>
    </row>
    <row r="32">
      <c r="A32" s="188" t="n">
        <v>31</v>
      </c>
      <c r="B32" s="189" t="inlineStr">
        <is>
          <t>Diego Grando</t>
        </is>
      </c>
      <c r="C32" s="188" t="inlineStr">
        <is>
          <t>M</t>
        </is>
      </c>
      <c r="D32" s="188" t="inlineStr">
        <is>
          <t>M</t>
        </is>
      </c>
      <c r="E32" s="188" t="n">
        <v>78</v>
      </c>
      <c r="F32" s="188" t="n">
        <v>1.79</v>
      </c>
      <c r="G32" s="188" t="n">
        <v>43</v>
      </c>
      <c r="H32" s="189" t="inlineStr">
        <is>
          <t>+55 (49) 99912-1598</t>
        </is>
      </c>
      <c r="I32" s="189" t="inlineStr">
        <is>
          <t>Pinhalzinho SC</t>
        </is>
      </c>
      <c r="J32" s="189" t="inlineStr">
        <is>
          <t>Josiane fiorini</t>
        </is>
      </c>
      <c r="K32" s="189" t="inlineStr">
        <is>
          <t>marise Grando</t>
        </is>
      </c>
      <c r="L32" s="189" t="inlineStr">
        <is>
          <t>49 999834653</t>
        </is>
      </c>
      <c r="M32" s="189" t="inlineStr">
        <is>
          <t>Marise Grando</t>
        </is>
      </c>
      <c r="N32" s="189" t="inlineStr">
        <is>
          <t>49 999834653</t>
        </is>
      </c>
      <c r="O32" s="189" t="inlineStr">
        <is>
          <t>não</t>
        </is>
      </c>
      <c r="P32" s="189" t="inlineStr">
        <is>
          <t>1982-07-25</t>
        </is>
      </c>
      <c r="Q32" s="199" t="inlineStr">
        <is>
          <t>Issacar</t>
        </is>
      </c>
      <c r="R32" s="191" t="inlineStr"/>
    </row>
    <row r="33">
      <c r="A33" s="188" t="n">
        <v>32</v>
      </c>
      <c r="B33" s="189" t="inlineStr">
        <is>
          <t>Dirce de Souza Lobo Oliveira</t>
        </is>
      </c>
      <c r="C33" s="188" t="inlineStr">
        <is>
          <t>M</t>
        </is>
      </c>
      <c r="D33" s="188" t="inlineStr">
        <is>
          <t>F</t>
        </is>
      </c>
      <c r="E33" s="188" t="n">
        <v>70</v>
      </c>
      <c r="F33" s="188" t="n">
        <v>1.65</v>
      </c>
      <c r="G33" s="188" t="n">
        <v>57</v>
      </c>
      <c r="H33" s="189" t="inlineStr">
        <is>
          <t>+55 (62) 99647-4797</t>
        </is>
      </c>
      <c r="I33" s="189" t="inlineStr">
        <is>
          <t>Pires do Rio</t>
        </is>
      </c>
      <c r="J33" s="189" t="inlineStr">
        <is>
          <t>Donizete Antonio de Oliveira - Meu marido</t>
        </is>
      </c>
      <c r="K33" s="189" t="inlineStr">
        <is>
          <t>Dayanne Oliveira</t>
        </is>
      </c>
      <c r="L33" s="189" t="inlineStr">
        <is>
          <t>62999675342</t>
        </is>
      </c>
      <c r="M33" s="189" t="inlineStr">
        <is>
          <t>Danielly Oliveira</t>
        </is>
      </c>
      <c r="N33" s="189" t="inlineStr">
        <is>
          <t>62996026126</t>
        </is>
      </c>
      <c r="O33" s="189" t="inlineStr">
        <is>
          <t>Não</t>
        </is>
      </c>
      <c r="P33" s="189" t="inlineStr">
        <is>
          <t>1969-02-22</t>
        </is>
      </c>
      <c r="Q33" s="192" t="inlineStr">
        <is>
          <t>Rubem</t>
        </is>
      </c>
      <c r="R33" s="191" t="n">
        <v>33</v>
      </c>
    </row>
    <row r="34">
      <c r="A34" s="188" t="n">
        <v>33</v>
      </c>
      <c r="B34" s="189" t="inlineStr">
        <is>
          <t>Donizete Antonio de Oliveira</t>
        </is>
      </c>
      <c r="C34" s="188" t="inlineStr">
        <is>
          <t>G</t>
        </is>
      </c>
      <c r="D34" s="188" t="inlineStr">
        <is>
          <t>M</t>
        </is>
      </c>
      <c r="E34" s="188" t="n">
        <v>95</v>
      </c>
      <c r="F34" s="188" t="n">
        <v>1.68</v>
      </c>
      <c r="G34" s="188" t="n">
        <v>63</v>
      </c>
      <c r="H34" s="189" t="inlineStr">
        <is>
          <t>+55 (62) 99661-4603</t>
        </is>
      </c>
      <c r="I34" s="189" t="inlineStr">
        <is>
          <t>Vianópolis/Pires do Rio</t>
        </is>
      </c>
      <c r="J34" s="189" t="inlineStr">
        <is>
          <t>Dirce Lobo/ Vânia Oliveira/ Nilson Oliveira</t>
        </is>
      </c>
      <c r="K34" s="189" t="inlineStr">
        <is>
          <t>danielly</t>
        </is>
      </c>
      <c r="L34" s="189" t="inlineStr">
        <is>
          <t>62999675352</t>
        </is>
      </c>
      <c r="M34" s="189" t="inlineStr">
        <is>
          <t>dayanne</t>
        </is>
      </c>
      <c r="N34" s="189" t="inlineStr">
        <is>
          <t>62996026126</t>
        </is>
      </c>
      <c r="O34" s="189" t="inlineStr">
        <is>
          <t>não</t>
        </is>
      </c>
      <c r="P34" s="189" t="inlineStr">
        <is>
          <t>1963-04-06</t>
        </is>
      </c>
      <c r="Q34" s="190" t="inlineStr">
        <is>
          <t>Benjamim</t>
        </is>
      </c>
      <c r="R34" s="191" t="n">
        <v>32</v>
      </c>
    </row>
    <row r="35">
      <c r="A35" s="188" t="n">
        <v>34</v>
      </c>
      <c r="B35" s="189" t="inlineStr">
        <is>
          <t>eder ribeiro da silva</t>
        </is>
      </c>
      <c r="C35" s="188" t="inlineStr">
        <is>
          <t>M</t>
        </is>
      </c>
      <c r="D35" s="188" t="inlineStr">
        <is>
          <t>M</t>
        </is>
      </c>
      <c r="E35" s="188" t="n">
        <v>75</v>
      </c>
      <c r="F35" s="188" t="n">
        <v>1.72</v>
      </c>
      <c r="G35" s="188" t="n">
        <v>43</v>
      </c>
      <c r="H35" s="189" t="inlineStr">
        <is>
          <t>+55 (62) 99699-2468</t>
        </is>
      </c>
      <c r="I35" s="189" t="inlineStr">
        <is>
          <t>goiania</t>
        </is>
      </c>
      <c r="J35" s="189" t="inlineStr">
        <is>
          <t>nao</t>
        </is>
      </c>
      <c r="K35" s="189" t="inlineStr">
        <is>
          <t>esposa vanessa</t>
        </is>
      </c>
      <c r="L35" s="189" t="inlineStr">
        <is>
          <t>62998079634</t>
        </is>
      </c>
      <c r="M35" s="189" t="inlineStr">
        <is>
          <t>filho richard</t>
        </is>
      </c>
      <c r="N35" s="189" t="inlineStr">
        <is>
          <t>62996992468</t>
        </is>
      </c>
      <c r="O35" s="189" t="inlineStr">
        <is>
          <t>nao</t>
        </is>
      </c>
      <c r="P35" s="189" t="inlineStr">
        <is>
          <t>1982-07-14</t>
        </is>
      </c>
      <c r="Q35" s="199" t="inlineStr">
        <is>
          <t>Issacar</t>
        </is>
      </c>
      <c r="R35" s="191" t="inlineStr"/>
    </row>
    <row r="36">
      <c r="A36" s="188" t="n">
        <v>35</v>
      </c>
      <c r="B36" s="189" t="inlineStr">
        <is>
          <t>EDMAR DE PAULA SILVA</t>
        </is>
      </c>
      <c r="C36" s="188" t="inlineStr">
        <is>
          <t>GG</t>
        </is>
      </c>
      <c r="D36" s="188" t="inlineStr">
        <is>
          <t>M</t>
        </is>
      </c>
      <c r="E36" s="188" t="n">
        <v>87</v>
      </c>
      <c r="F36" s="188" t="n">
        <v>1.75</v>
      </c>
      <c r="G36" s="188" t="n">
        <v>39</v>
      </c>
      <c r="H36" s="189" t="inlineStr">
        <is>
          <t>+55 (16) 99755-3271</t>
        </is>
      </c>
      <c r="I36" s="189" t="inlineStr">
        <is>
          <t>FRANCA SP</t>
        </is>
      </c>
      <c r="J36" s="189" t="inlineStr">
        <is>
          <t>NÃO</t>
        </is>
      </c>
      <c r="K36" s="189" t="inlineStr">
        <is>
          <t>GILBERTO (IRMÃO)</t>
        </is>
      </c>
      <c r="L36" s="189" t="inlineStr">
        <is>
          <t>6299769578</t>
        </is>
      </c>
      <c r="M36" s="189" t="inlineStr">
        <is>
          <t>ALINE (IRMÃ)</t>
        </is>
      </c>
      <c r="N36" s="189" t="inlineStr">
        <is>
          <t>1699989-0819</t>
        </is>
      </c>
      <c r="O36" s="189" t="inlineStr">
        <is>
          <t>NAO</t>
        </is>
      </c>
      <c r="P36" s="189" t="inlineStr">
        <is>
          <t>1987-01-26</t>
        </is>
      </c>
      <c r="Q36" s="195" t="inlineStr">
        <is>
          <t>Judá</t>
        </is>
      </c>
      <c r="R36" s="191" t="inlineStr"/>
    </row>
    <row r="37">
      <c r="A37" s="188" t="n">
        <v>36</v>
      </c>
      <c r="B37" s="189" t="inlineStr">
        <is>
          <t>Edson Luiz Pacheco Junior</t>
        </is>
      </c>
      <c r="C37" s="188" t="inlineStr">
        <is>
          <t>G</t>
        </is>
      </c>
      <c r="D37" s="188" t="inlineStr">
        <is>
          <t>M</t>
        </is>
      </c>
      <c r="E37" s="188" t="n">
        <v>85</v>
      </c>
      <c r="F37" s="188" t="inlineStr"/>
      <c r="G37" s="188" t="n">
        <v>25</v>
      </c>
      <c r="H37" s="189" t="inlineStr">
        <is>
          <t>+55 (62) 99477-9724</t>
        </is>
      </c>
      <c r="I37" s="189" t="inlineStr">
        <is>
          <t>Goiânia</t>
        </is>
      </c>
      <c r="J37" s="189" t="inlineStr">
        <is>
          <t>esposa Sara Angel, amigos: Josane, Pedro Luan, e Thais (está na reserva)</t>
        </is>
      </c>
      <c r="K37" s="189" t="inlineStr">
        <is>
          <t>sogra Jackeline</t>
        </is>
      </c>
      <c r="L37" s="189" t="inlineStr">
        <is>
          <t>62 99117-1714 somente WhatsApp</t>
        </is>
      </c>
      <c r="M37" s="189" t="inlineStr">
        <is>
          <t>tia Suely</t>
        </is>
      </c>
      <c r="N37" s="189" t="inlineStr">
        <is>
          <t>62 99292-3030</t>
        </is>
      </c>
      <c r="O37" s="189" t="inlineStr">
        <is>
          <t>intolerância a lactose</t>
        </is>
      </c>
      <c r="P37" s="189" t="inlineStr">
        <is>
          <t>2000-08-31</t>
        </is>
      </c>
      <c r="Q37" s="192" t="inlineStr">
        <is>
          <t>Rubem</t>
        </is>
      </c>
      <c r="R37" s="191" t="inlineStr"/>
    </row>
    <row r="38">
      <c r="A38" s="188" t="n">
        <v>37</v>
      </c>
      <c r="B38" s="189" t="inlineStr">
        <is>
          <t>ELIANE MARTINS NUNES</t>
        </is>
      </c>
      <c r="C38" s="188" t="inlineStr">
        <is>
          <t>M</t>
        </is>
      </c>
      <c r="D38" s="188" t="inlineStr">
        <is>
          <t>F</t>
        </is>
      </c>
      <c r="E38" s="188" t="n">
        <v>66</v>
      </c>
      <c r="F38" s="188" t="n">
        <v>1.61</v>
      </c>
      <c r="G38" s="188" t="n">
        <v>60</v>
      </c>
      <c r="H38" s="189" t="inlineStr">
        <is>
          <t>+55 (62) 99971-1082</t>
        </is>
      </c>
      <c r="I38" s="189" t="inlineStr">
        <is>
          <t>GOIÂNIA</t>
        </is>
      </c>
      <c r="J38" s="189" t="inlineStr">
        <is>
          <t>Não</t>
        </is>
      </c>
      <c r="K38" s="189" t="inlineStr">
        <is>
          <t>BRUNA</t>
        </is>
      </c>
      <c r="L38" s="189" t="inlineStr">
        <is>
          <t>62 99908.1082</t>
        </is>
      </c>
      <c r="M38" s="189" t="inlineStr">
        <is>
          <t>SÉRGIO</t>
        </is>
      </c>
      <c r="N38" s="189" t="inlineStr">
        <is>
          <t>62 99696.8688</t>
        </is>
      </c>
      <c r="O38" s="189" t="inlineStr">
        <is>
          <t>Não</t>
        </is>
      </c>
      <c r="P38" s="189" t="inlineStr">
        <is>
          <t>1965-06-04</t>
        </is>
      </c>
      <c r="Q38" s="248" t="inlineStr">
        <is>
          <t>Zabulom</t>
        </is>
      </c>
      <c r="R38" s="191" t="inlineStr"/>
    </row>
    <row r="39">
      <c r="A39" s="188" t="n">
        <v>38</v>
      </c>
      <c r="B39" s="189" t="inlineStr">
        <is>
          <t>Eliete Fátima Guimarães</t>
        </is>
      </c>
      <c r="C39" s="188" t="inlineStr">
        <is>
          <t>M</t>
        </is>
      </c>
      <c r="D39" s="188" t="inlineStr">
        <is>
          <t>F</t>
        </is>
      </c>
      <c r="E39" s="188" t="n">
        <v>58</v>
      </c>
      <c r="F39" s="188" t="n">
        <v>1.55</v>
      </c>
      <c r="G39" s="188" t="n">
        <v>68</v>
      </c>
      <c r="H39" s="189" t="inlineStr">
        <is>
          <t>+55 (64) 98431-2836</t>
        </is>
      </c>
      <c r="I39" s="189" t="inlineStr">
        <is>
          <t>Caçu</t>
        </is>
      </c>
      <c r="J39" s="189" t="inlineStr">
        <is>
          <t>Sim. Adejar (marido) e Catarina Elzi (conhecida)</t>
        </is>
      </c>
      <c r="K39" s="189" t="inlineStr">
        <is>
          <t>Geovana Guimarães</t>
        </is>
      </c>
      <c r="L39" s="189" t="inlineStr">
        <is>
          <t>62982185298</t>
        </is>
      </c>
      <c r="M39" s="189" t="inlineStr">
        <is>
          <t>Thaís Guimarães</t>
        </is>
      </c>
      <c r="N39" s="189" t="inlineStr">
        <is>
          <t>62982185297</t>
        </is>
      </c>
      <c r="O39" s="189" t="inlineStr">
        <is>
          <t>Não que eu saiba</t>
        </is>
      </c>
      <c r="P39" s="189" t="inlineStr">
        <is>
          <t>1957-09-06</t>
        </is>
      </c>
      <c r="Q39" s="198" t="inlineStr">
        <is>
          <t>Gad</t>
        </is>
      </c>
      <c r="R39" s="191" t="inlineStr"/>
    </row>
    <row r="40">
      <c r="A40" s="188" t="n">
        <v>39</v>
      </c>
      <c r="B40" s="189" t="inlineStr">
        <is>
          <t>Elisvania Maria de Oliveira Silva</t>
        </is>
      </c>
      <c r="C40" s="188" t="inlineStr">
        <is>
          <t>G</t>
        </is>
      </c>
      <c r="D40" s="188" t="inlineStr">
        <is>
          <t>F</t>
        </is>
      </c>
      <c r="E40" s="188" t="n">
        <v>78</v>
      </c>
      <c r="F40" s="188" t="inlineStr"/>
      <c r="G40" s="188" t="n">
        <v>49</v>
      </c>
      <c r="H40" s="189" t="inlineStr">
        <is>
          <t>+55 (62) 99937-9138</t>
        </is>
      </c>
      <c r="I40" s="189" t="inlineStr">
        <is>
          <t>Vianopolis</t>
        </is>
      </c>
      <c r="J40" s="189" t="inlineStr">
        <is>
          <t>Não!</t>
        </is>
      </c>
      <c r="K40" s="189" t="inlineStr">
        <is>
          <t>Lara Caixeta</t>
        </is>
      </c>
      <c r="L40" s="189" t="inlineStr">
        <is>
          <t>62999413446</t>
        </is>
      </c>
      <c r="M40" s="189" t="inlineStr">
        <is>
          <t>João Antônio Oliveira Silva</t>
        </is>
      </c>
      <c r="N40" s="189" t="inlineStr">
        <is>
          <t>62999482791</t>
        </is>
      </c>
      <c r="O40" s="189" t="inlineStr">
        <is>
          <t>Não</t>
        </is>
      </c>
      <c r="P40" s="189" t="inlineStr">
        <is>
          <t>1976-11-22</t>
        </is>
      </c>
      <c r="Q40" s="195" t="inlineStr">
        <is>
          <t>Judá</t>
        </is>
      </c>
      <c r="R40" s="191" t="inlineStr"/>
    </row>
    <row r="41">
      <c r="A41" s="188" t="n">
        <v>40</v>
      </c>
      <c r="B41" s="189" t="inlineStr">
        <is>
          <t>Fabiano Pereira Baptista</t>
        </is>
      </c>
      <c r="C41" s="188" t="inlineStr">
        <is>
          <t>M</t>
        </is>
      </c>
      <c r="D41" s="188" t="inlineStr">
        <is>
          <t>M</t>
        </is>
      </c>
      <c r="E41" s="188" t="n">
        <v>80</v>
      </c>
      <c r="F41" s="188" t="n">
        <v>1.69</v>
      </c>
      <c r="G41" s="188" t="n">
        <v>53</v>
      </c>
      <c r="H41" s="189" t="inlineStr">
        <is>
          <t>+55 (62) 99973-3017</t>
        </is>
      </c>
      <c r="I41" s="189" t="inlineStr">
        <is>
          <t>Goiânia</t>
        </is>
      </c>
      <c r="J41" s="189" t="inlineStr">
        <is>
          <t>Ana Luiza esposa</t>
        </is>
      </c>
      <c r="K41" s="189" t="inlineStr">
        <is>
          <t>Leandro Pereira</t>
        </is>
      </c>
      <c r="L41" s="189" t="inlineStr">
        <is>
          <t>(015 62) 98117-1679</t>
        </is>
      </c>
      <c r="M41" s="189" t="inlineStr">
        <is>
          <t>Juliana Pereira</t>
        </is>
      </c>
      <c r="N41" s="189" t="inlineStr">
        <is>
          <t>(015 62) 99147-9793</t>
        </is>
      </c>
      <c r="O41" s="189" t="inlineStr">
        <is>
          <t>Não</t>
        </is>
      </c>
      <c r="P41" s="189" t="inlineStr">
        <is>
          <t>1972-11-21</t>
        </is>
      </c>
      <c r="Q41" s="196" t="inlineStr">
        <is>
          <t>EFRAIM</t>
        </is>
      </c>
      <c r="R41" s="191" t="n">
        <v>8</v>
      </c>
    </row>
    <row r="42">
      <c r="A42" s="188" t="n">
        <v>41</v>
      </c>
      <c r="B42" s="189" t="inlineStr">
        <is>
          <t>Felipe Carvalho De Matos</t>
        </is>
      </c>
      <c r="C42" s="188" t="inlineStr">
        <is>
          <t>P</t>
        </is>
      </c>
      <c r="D42" s="188" t="inlineStr">
        <is>
          <t>M</t>
        </is>
      </c>
      <c r="E42" s="188" t="n">
        <v>62</v>
      </c>
      <c r="F42" s="188" t="n">
        <v>1.68</v>
      </c>
      <c r="G42" s="188" t="n">
        <v>28</v>
      </c>
      <c r="H42" s="189" t="inlineStr">
        <is>
          <t>+55 (62) 99919-7733</t>
        </is>
      </c>
      <c r="I42" s="189" t="inlineStr">
        <is>
          <t>Goiânia</t>
        </is>
      </c>
      <c r="J42" s="189" t="inlineStr">
        <is>
          <t>Sim - Vanessa Samara</t>
        </is>
      </c>
      <c r="K42" s="189" t="inlineStr">
        <is>
          <t>Reges (pai)</t>
        </is>
      </c>
      <c r="L42" s="189" t="inlineStr">
        <is>
          <t>62992162599</t>
        </is>
      </c>
      <c r="M42" s="189" t="inlineStr">
        <is>
          <t>Larissa (mãe)</t>
        </is>
      </c>
      <c r="N42" s="189" t="inlineStr">
        <is>
          <t>62999583694</t>
        </is>
      </c>
      <c r="O42" s="189" t="inlineStr">
        <is>
          <t>Não</t>
        </is>
      </c>
      <c r="P42" s="189" t="inlineStr">
        <is>
          <t>1997-06-11</t>
        </is>
      </c>
      <c r="Q42" s="190" t="inlineStr">
        <is>
          <t>Benjamim</t>
        </is>
      </c>
      <c r="R42" s="191" t="inlineStr"/>
    </row>
    <row r="43">
      <c r="A43" s="188" t="n">
        <v>42</v>
      </c>
      <c r="B43" s="189" t="inlineStr">
        <is>
          <t>Fernanda Gonçalves de Oliveira</t>
        </is>
      </c>
      <c r="C43" s="188" t="inlineStr">
        <is>
          <t>M</t>
        </is>
      </c>
      <c r="D43" s="188" t="inlineStr">
        <is>
          <t>F</t>
        </is>
      </c>
      <c r="E43" s="188" t="n">
        <v>73</v>
      </c>
      <c r="F43" s="188" t="n">
        <v>1.65</v>
      </c>
      <c r="G43" s="188" t="n">
        <v>49</v>
      </c>
      <c r="H43" s="189" t="inlineStr">
        <is>
          <t>+55 (62) 99889-6049</t>
        </is>
      </c>
      <c r="I43" s="189" t="inlineStr">
        <is>
          <t>Vianópolis</t>
        </is>
      </c>
      <c r="J43" s="189" t="inlineStr">
        <is>
          <t>Elisvania Maria, Nilson Oliveira, Matheus Romualdo</t>
        </is>
      </c>
      <c r="K43" s="189" t="inlineStr">
        <is>
          <t>Lara Caixeta</t>
        </is>
      </c>
      <c r="L43" s="189" t="inlineStr">
        <is>
          <t>62999413446</t>
        </is>
      </c>
      <c r="M43" s="189" t="inlineStr">
        <is>
          <t>Diogo Caixeta</t>
        </is>
      </c>
      <c r="N43" s="189" t="inlineStr">
        <is>
          <t>62 9847-7709</t>
        </is>
      </c>
      <c r="O43" s="189" t="inlineStr">
        <is>
          <t>Não</t>
        </is>
      </c>
      <c r="P43" s="189" t="inlineStr">
        <is>
          <t>1976-08-15</t>
        </is>
      </c>
      <c r="Q43" s="193" t="inlineStr">
        <is>
          <t>Levi</t>
        </is>
      </c>
      <c r="R43" s="191" t="inlineStr"/>
    </row>
    <row r="44">
      <c r="A44" s="188" t="n">
        <v>43</v>
      </c>
      <c r="B44" s="189" t="inlineStr">
        <is>
          <t>Fernanda Roncolato</t>
        </is>
      </c>
      <c r="C44" s="188" t="inlineStr">
        <is>
          <t>M</t>
        </is>
      </c>
      <c r="D44" s="188" t="inlineStr">
        <is>
          <t>F</t>
        </is>
      </c>
      <c r="E44" s="188" t="n">
        <v>73</v>
      </c>
      <c r="F44" s="188" t="n">
        <v>1.64</v>
      </c>
      <c r="G44" s="188" t="n">
        <v>45</v>
      </c>
      <c r="H44" s="189" t="inlineStr">
        <is>
          <t>+55 (62) 98533-8606</t>
        </is>
      </c>
      <c r="I44" s="189" t="inlineStr">
        <is>
          <t>Goiânia</t>
        </is>
      </c>
      <c r="J44" s="189" t="inlineStr">
        <is>
          <t>não</t>
        </is>
      </c>
      <c r="K44" s="189" t="inlineStr">
        <is>
          <t>Rodrigo Roncolato (esposo)</t>
        </is>
      </c>
      <c r="L44" s="189" t="inlineStr">
        <is>
          <t>62 98592-8423</t>
        </is>
      </c>
      <c r="M44" s="189" t="inlineStr">
        <is>
          <t>Izabela Carvalho (irma)</t>
        </is>
      </c>
      <c r="N44" s="189" t="inlineStr">
        <is>
          <t>62 98281-9963</t>
        </is>
      </c>
      <c r="O44" s="189" t="inlineStr">
        <is>
          <t>não</t>
        </is>
      </c>
      <c r="P44" s="189" t="inlineStr">
        <is>
          <t>1981-01-19</t>
        </is>
      </c>
      <c r="Q44" s="192" t="inlineStr">
        <is>
          <t>Rubem</t>
        </is>
      </c>
      <c r="R44" s="191" t="inlineStr"/>
    </row>
    <row r="45">
      <c r="A45" s="188" t="n">
        <v>44</v>
      </c>
      <c r="B45" s="189" t="inlineStr">
        <is>
          <t>Fernando Bongiovanni Seraphim</t>
        </is>
      </c>
      <c r="C45" s="188" t="inlineStr">
        <is>
          <t>GG</t>
        </is>
      </c>
      <c r="D45" s="188" t="inlineStr">
        <is>
          <t>M</t>
        </is>
      </c>
      <c r="E45" s="188" t="n">
        <v>100</v>
      </c>
      <c r="F45" s="188" t="n">
        <v>1.85</v>
      </c>
      <c r="G45" s="188" t="n">
        <v>52</v>
      </c>
      <c r="H45" s="189" t="inlineStr">
        <is>
          <t>+55 (14) 99704-1530</t>
        </is>
      </c>
      <c r="I45" s="189" t="inlineStr">
        <is>
          <t>Rio Verde</t>
        </is>
      </c>
      <c r="J45" s="189" t="inlineStr">
        <is>
          <t>Patrícia cunha</t>
        </is>
      </c>
      <c r="K45" s="189" t="inlineStr">
        <is>
          <t>Patricia Cunha</t>
        </is>
      </c>
      <c r="L45" s="189" t="inlineStr">
        <is>
          <t>62999774020</t>
        </is>
      </c>
      <c r="M45" s="189" t="inlineStr">
        <is>
          <t>Patricia Cunha</t>
        </is>
      </c>
      <c r="N45" s="189" t="inlineStr">
        <is>
          <t>62999774020</t>
        </is>
      </c>
      <c r="O45" s="189" t="inlineStr">
        <is>
          <t>Nao</t>
        </is>
      </c>
      <c r="P45" s="189" t="inlineStr">
        <is>
          <t>1973-10-03</t>
        </is>
      </c>
      <c r="Q45" s="192" t="inlineStr">
        <is>
          <t>Rubem</t>
        </is>
      </c>
      <c r="R45" s="191" t="inlineStr"/>
    </row>
    <row r="46">
      <c r="A46" s="188" t="n">
        <v>45</v>
      </c>
      <c r="B46" s="189" t="inlineStr">
        <is>
          <t>Fernando Costa de Souza</t>
        </is>
      </c>
      <c r="C46" s="188" t="inlineStr">
        <is>
          <t>M</t>
        </is>
      </c>
      <c r="D46" s="188" t="inlineStr">
        <is>
          <t>M</t>
        </is>
      </c>
      <c r="E46" s="188" t="n">
        <v>74</v>
      </c>
      <c r="F46" s="188" t="n">
        <v>1.75</v>
      </c>
      <c r="G46" s="188" t="n">
        <v>36</v>
      </c>
      <c r="H46" s="189" t="inlineStr">
        <is>
          <t>+55 (62) 99306-9620</t>
        </is>
      </c>
      <c r="I46" s="189" t="inlineStr">
        <is>
          <t>Senador Canedo</t>
        </is>
      </c>
      <c r="J46" s="189" t="inlineStr">
        <is>
          <t>Não</t>
        </is>
      </c>
      <c r="K46" s="189" t="inlineStr">
        <is>
          <t>Anna Cecília ( esposa)</t>
        </is>
      </c>
      <c r="L46" s="189" t="inlineStr">
        <is>
          <t>62992162992</t>
        </is>
      </c>
      <c r="M46" s="189" t="inlineStr">
        <is>
          <t>Leidiane (irmã)</t>
        </is>
      </c>
      <c r="N46" s="189" t="inlineStr">
        <is>
          <t>62985694287</t>
        </is>
      </c>
      <c r="O46" s="189" t="inlineStr">
        <is>
          <t>Não</t>
        </is>
      </c>
      <c r="P46" s="189" t="inlineStr">
        <is>
          <t>1990-03-30</t>
        </is>
      </c>
      <c r="Q46" s="199" t="inlineStr">
        <is>
          <t>Issacar</t>
        </is>
      </c>
      <c r="R46" s="191" t="inlineStr"/>
    </row>
    <row r="47">
      <c r="A47" s="188" t="n">
        <v>46</v>
      </c>
      <c r="B47" s="189" t="inlineStr">
        <is>
          <t>Fernando Rodrigues Pontes</t>
        </is>
      </c>
      <c r="C47" s="188" t="inlineStr">
        <is>
          <t>GG</t>
        </is>
      </c>
      <c r="D47" s="188" t="inlineStr">
        <is>
          <t>M</t>
        </is>
      </c>
      <c r="E47" s="188" t="n">
        <v>94</v>
      </c>
      <c r="F47" s="188" t="n">
        <v>1.67</v>
      </c>
      <c r="G47" s="188" t="n">
        <v>46</v>
      </c>
      <c r="H47" s="189" t="inlineStr">
        <is>
          <t>+55 (62) 99269-6899</t>
        </is>
      </c>
      <c r="I47" s="189" t="inlineStr">
        <is>
          <t>Goiânia</t>
        </is>
      </c>
      <c r="J47" s="189" t="inlineStr">
        <is>
          <t>não</t>
        </is>
      </c>
      <c r="K47" s="189" t="inlineStr">
        <is>
          <t>esposa Kelly 62991213760</t>
        </is>
      </c>
      <c r="L47" s="189" t="inlineStr">
        <is>
          <t>irmão Guilherme +55 62 9125-8909</t>
        </is>
      </c>
      <c r="M47" s="189" t="inlineStr">
        <is>
          <t>Guilherme e Luiz Carlos</t>
        </is>
      </c>
      <c r="N47" s="189" t="inlineStr">
        <is>
          <t>Luiz Carlos primo +55 62 8532-2260</t>
        </is>
      </c>
      <c r="O47" s="189" t="inlineStr">
        <is>
          <t>nao</t>
        </is>
      </c>
      <c r="P47" s="189" t="inlineStr">
        <is>
          <t>1979-06-27</t>
        </is>
      </c>
      <c r="Q47" s="195" t="inlineStr">
        <is>
          <t>Judá</t>
        </is>
      </c>
      <c r="R47" s="191" t="inlineStr"/>
    </row>
    <row r="48">
      <c r="A48" s="188" t="n">
        <v>47</v>
      </c>
      <c r="B48" s="189" t="inlineStr">
        <is>
          <t>Flávia de Faria</t>
        </is>
      </c>
      <c r="C48" s="188" t="inlineStr">
        <is>
          <t>M</t>
        </is>
      </c>
      <c r="D48" s="188" t="inlineStr">
        <is>
          <t>F</t>
        </is>
      </c>
      <c r="E48" s="188" t="n">
        <v>72</v>
      </c>
      <c r="F48" s="188" t="n">
        <v>1.64</v>
      </c>
      <c r="G48" s="188" t="n">
        <v>48</v>
      </c>
      <c r="H48" s="189" t="inlineStr">
        <is>
          <t>+55 (62) 99995-3602</t>
        </is>
      </c>
      <c r="I48" s="189" t="inlineStr">
        <is>
          <t>Silvânia</t>
        </is>
      </c>
      <c r="J48" s="189" t="inlineStr">
        <is>
          <t>Eunita, Laura,</t>
        </is>
      </c>
      <c r="K48" s="189" t="inlineStr">
        <is>
          <t>Deusimar (esposo)</t>
        </is>
      </c>
      <c r="L48" s="189" t="inlineStr">
        <is>
          <t>62 99995 3613</t>
        </is>
      </c>
      <c r="M48" s="189" t="inlineStr">
        <is>
          <t>Fabiana (irmã)</t>
        </is>
      </c>
      <c r="N48" s="189" t="inlineStr">
        <is>
          <t>62 99995 3036</t>
        </is>
      </c>
      <c r="O48" s="189" t="inlineStr">
        <is>
          <t>Não</t>
        </is>
      </c>
      <c r="P48" s="189" t="inlineStr">
        <is>
          <t>1978-03-28</t>
        </is>
      </c>
      <c r="Q48" s="198" t="inlineStr">
        <is>
          <t>Gad</t>
        </is>
      </c>
      <c r="R48" s="191" t="inlineStr"/>
    </row>
    <row r="49">
      <c r="A49" s="188" t="n">
        <v>48</v>
      </c>
      <c r="B49" s="189" t="inlineStr">
        <is>
          <t>Frederico Rodrigues Gonçalves</t>
        </is>
      </c>
      <c r="C49" s="188" t="inlineStr">
        <is>
          <t>GG1</t>
        </is>
      </c>
      <c r="D49" s="188" t="inlineStr">
        <is>
          <t>M</t>
        </is>
      </c>
      <c r="E49" s="188" t="n">
        <v>130</v>
      </c>
      <c r="F49" s="188" t="n">
        <v>1.8</v>
      </c>
      <c r="G49" s="188" t="n">
        <v>32</v>
      </c>
      <c r="H49" s="189" t="inlineStr">
        <is>
          <t>+55 (62) 98162-2271</t>
        </is>
      </c>
      <c r="I49" s="189" t="inlineStr">
        <is>
          <t>Goiânia</t>
        </is>
      </c>
      <c r="J49" s="189" t="inlineStr">
        <is>
          <t>Não</t>
        </is>
      </c>
      <c r="K49" s="189" t="inlineStr">
        <is>
          <t>Pedro - 62981129126</t>
        </is>
      </c>
      <c r="L49" s="189" t="inlineStr">
        <is>
          <t>62981622271</t>
        </is>
      </c>
      <c r="M49" s="189" t="inlineStr">
        <is>
          <t>Mikael - 62981199511</t>
        </is>
      </c>
      <c r="N49" s="189" t="inlineStr">
        <is>
          <t>62981515237</t>
        </is>
      </c>
      <c r="O49" s="189" t="inlineStr">
        <is>
          <t>Não</t>
        </is>
      </c>
      <c r="P49" s="189" t="inlineStr">
        <is>
          <t>1994-03-18</t>
        </is>
      </c>
      <c r="Q49" s="195" t="inlineStr">
        <is>
          <t>Judá</t>
        </is>
      </c>
      <c r="R49" s="191" t="inlineStr"/>
    </row>
    <row r="50">
      <c r="A50" s="188" t="n">
        <v>49</v>
      </c>
      <c r="B50" s="189" t="inlineStr">
        <is>
          <t>Gabriel Fernandes</t>
        </is>
      </c>
      <c r="C50" s="188" t="inlineStr">
        <is>
          <t>G</t>
        </is>
      </c>
      <c r="D50" s="188" t="inlineStr">
        <is>
          <t>M</t>
        </is>
      </c>
      <c r="E50" s="188" t="n">
        <v>87</v>
      </c>
      <c r="F50" s="188" t="n">
        <v>1.7</v>
      </c>
      <c r="G50" s="188" t="n">
        <v>25</v>
      </c>
      <c r="H50" s="189" t="inlineStr">
        <is>
          <t>+55 (62) 99932-6071</t>
        </is>
      </c>
      <c r="I50" s="189" t="inlineStr">
        <is>
          <t>Aparecida De Goiania</t>
        </is>
      </c>
      <c r="J50" s="189" t="inlineStr">
        <is>
          <t>Não</t>
        </is>
      </c>
      <c r="K50" s="189" t="inlineStr">
        <is>
          <t>Fernanda Bacelar</t>
        </is>
      </c>
      <c r="L50" s="189" t="inlineStr">
        <is>
          <t>62995456291</t>
        </is>
      </c>
      <c r="M50" s="189" t="inlineStr">
        <is>
          <t>Fernanda Bacelar</t>
        </is>
      </c>
      <c r="N50" s="189" t="inlineStr">
        <is>
          <t>62995456291</t>
        </is>
      </c>
      <c r="O50" s="189" t="inlineStr">
        <is>
          <t>Não</t>
        </is>
      </c>
      <c r="P50" s="189" t="inlineStr">
        <is>
          <t>2000-12-28</t>
        </is>
      </c>
      <c r="Q50" s="193" t="inlineStr">
        <is>
          <t>Levi</t>
        </is>
      </c>
      <c r="R50" s="191" t="inlineStr"/>
    </row>
    <row r="51">
      <c r="A51" s="188" t="n">
        <v>50</v>
      </c>
      <c r="B51" s="189" t="inlineStr">
        <is>
          <t>Geisa Souza de Araujo</t>
        </is>
      </c>
      <c r="C51" s="188" t="inlineStr">
        <is>
          <t>G</t>
        </is>
      </c>
      <c r="D51" s="188" t="inlineStr">
        <is>
          <t>F</t>
        </is>
      </c>
      <c r="E51" s="188" t="n">
        <v>74</v>
      </c>
      <c r="F51" s="188" t="n">
        <v>1.6</v>
      </c>
      <c r="G51" s="188" t="n">
        <v>64</v>
      </c>
      <c r="H51" s="189" t="inlineStr">
        <is>
          <t>+55 (62) 98438-6602</t>
        </is>
      </c>
      <c r="I51" s="189" t="inlineStr">
        <is>
          <t>Goiânia</t>
        </is>
      </c>
      <c r="J51" s="189" t="inlineStr">
        <is>
          <t>Nao</t>
        </is>
      </c>
      <c r="K51" s="189" t="inlineStr">
        <is>
          <t>Flavia</t>
        </is>
      </c>
      <c r="L51" s="189" t="inlineStr">
        <is>
          <t>62996395177</t>
        </is>
      </c>
      <c r="M51" s="189" t="inlineStr">
        <is>
          <t>Divino</t>
        </is>
      </c>
      <c r="N51" s="189" t="inlineStr">
        <is>
          <t>62984191959</t>
        </is>
      </c>
      <c r="O51" s="189" t="inlineStr">
        <is>
          <t>Nao</t>
        </is>
      </c>
      <c r="P51" s="189" t="inlineStr">
        <is>
          <t>2061-10-02</t>
        </is>
      </c>
      <c r="Q51" s="194" t="inlineStr">
        <is>
          <t>Simeão</t>
        </is>
      </c>
      <c r="R51" s="191" t="inlineStr"/>
    </row>
    <row r="52">
      <c r="A52" s="188" t="n">
        <v>51</v>
      </c>
      <c r="B52" s="189" t="inlineStr">
        <is>
          <t>Glaucia Atavila da Silva</t>
        </is>
      </c>
      <c r="C52" s="188" t="inlineStr">
        <is>
          <t>M</t>
        </is>
      </c>
      <c r="D52" s="188" t="inlineStr">
        <is>
          <t>F</t>
        </is>
      </c>
      <c r="E52" s="188" t="n">
        <v>68</v>
      </c>
      <c r="F52" s="188" t="n">
        <v>1.68</v>
      </c>
      <c r="G52" s="188" t="n">
        <v>50</v>
      </c>
      <c r="H52" s="189" t="inlineStr">
        <is>
          <t>+55 (62) 99997-1003</t>
        </is>
      </c>
      <c r="I52" s="189" t="inlineStr">
        <is>
          <t>Goiânia</t>
        </is>
      </c>
      <c r="J52" s="189" t="inlineStr">
        <is>
          <t>Não</t>
        </is>
      </c>
      <c r="K52" s="189" t="inlineStr">
        <is>
          <t>Elza - Mãe</t>
        </is>
      </c>
      <c r="L52" s="189" t="inlineStr">
        <is>
          <t>62999766360</t>
        </is>
      </c>
      <c r="M52" s="189" t="inlineStr">
        <is>
          <t>Luciana - Irmã</t>
        </is>
      </c>
      <c r="N52" s="189" t="inlineStr">
        <is>
          <t>62996314321</t>
        </is>
      </c>
      <c r="O52" s="189" t="inlineStr">
        <is>
          <t>Alergia a crustáceos</t>
        </is>
      </c>
      <c r="P52" s="189" t="inlineStr">
        <is>
          <t>1975-08-22</t>
        </is>
      </c>
      <c r="Q52" s="190" t="inlineStr">
        <is>
          <t>Benjamim</t>
        </is>
      </c>
      <c r="R52" s="191" t="inlineStr"/>
    </row>
    <row r="53">
      <c r="A53" s="188" t="n">
        <v>52</v>
      </c>
      <c r="B53" s="189" t="inlineStr">
        <is>
          <t>Gustavo Henrique da Silva Rezende</t>
        </is>
      </c>
      <c r="C53" s="188" t="inlineStr">
        <is>
          <t>G</t>
        </is>
      </c>
      <c r="D53" s="188" t="inlineStr">
        <is>
          <t>M</t>
        </is>
      </c>
      <c r="E53" s="188" t="n">
        <v>85</v>
      </c>
      <c r="F53" s="188" t="n">
        <v>1.77</v>
      </c>
      <c r="G53" s="188" t="n">
        <v>22</v>
      </c>
      <c r="H53" s="189" t="inlineStr">
        <is>
          <t>+55 (64) 99200-2451</t>
        </is>
      </c>
      <c r="I53" s="189" t="inlineStr">
        <is>
          <t>Piracanjuba</t>
        </is>
      </c>
      <c r="J53" s="189" t="inlineStr">
        <is>
          <t>Não</t>
        </is>
      </c>
      <c r="K53" s="189" t="inlineStr">
        <is>
          <t>Claudia Raquel (mae)</t>
        </is>
      </c>
      <c r="L53" s="189" t="inlineStr">
        <is>
          <t>64992298971</t>
        </is>
      </c>
      <c r="M53" s="189" t="inlineStr">
        <is>
          <t>Matheus Augusto (irmão)</t>
        </is>
      </c>
      <c r="N53" s="189" t="inlineStr">
        <is>
          <t>64993263524</t>
        </is>
      </c>
      <c r="O53" s="189" t="inlineStr">
        <is>
          <t>Não</t>
        </is>
      </c>
      <c r="P53" s="189" t="inlineStr">
        <is>
          <t>2003-07-10</t>
        </is>
      </c>
      <c r="Q53" s="190" t="inlineStr">
        <is>
          <t>Benjamim</t>
        </is>
      </c>
      <c r="R53" s="191" t="inlineStr"/>
    </row>
    <row r="54">
      <c r="A54" s="188" t="n">
        <v>53</v>
      </c>
      <c r="B54" s="189" t="inlineStr">
        <is>
          <t>Henrique Carneiro Veiga</t>
        </is>
      </c>
      <c r="C54" s="188" t="inlineStr">
        <is>
          <t>M</t>
        </is>
      </c>
      <c r="D54" s="188" t="inlineStr">
        <is>
          <t>M</t>
        </is>
      </c>
      <c r="E54" s="188" t="n">
        <v>86</v>
      </c>
      <c r="F54" s="188" t="n">
        <v>1.8</v>
      </c>
      <c r="G54" s="188" t="n">
        <v>30</v>
      </c>
      <c r="H54" s="189" t="inlineStr">
        <is>
          <t>+55 (62) 99353-8118</t>
        </is>
      </c>
      <c r="I54" s="189" t="inlineStr">
        <is>
          <t>Goiânia</t>
        </is>
      </c>
      <c r="J54" s="189" t="inlineStr">
        <is>
          <t>Nao</t>
        </is>
      </c>
      <c r="K54" s="189" t="inlineStr">
        <is>
          <t>Emiliana Gondim +55 62 9688-7946</t>
        </is>
      </c>
      <c r="L54" s="189" t="inlineStr">
        <is>
          <t>9688-7946</t>
        </is>
      </c>
      <c r="M54" s="189" t="inlineStr">
        <is>
          <t>Rosangela Carneiro 992232371</t>
        </is>
      </c>
      <c r="N54" s="189" t="inlineStr">
        <is>
          <t>992232371</t>
        </is>
      </c>
      <c r="O54" s="189" t="inlineStr">
        <is>
          <t>Não</t>
        </is>
      </c>
      <c r="P54" s="189" t="inlineStr">
        <is>
          <t>1996-03-10</t>
        </is>
      </c>
      <c r="Q54" s="196" t="inlineStr">
        <is>
          <t>EFRAIM</t>
        </is>
      </c>
      <c r="R54" s="191" t="inlineStr"/>
    </row>
    <row r="55">
      <c r="A55" s="188" t="n">
        <v>54</v>
      </c>
      <c r="B55" s="189" t="inlineStr">
        <is>
          <t>Hudson Rodrigues de Sena</t>
        </is>
      </c>
      <c r="C55" s="188" t="inlineStr">
        <is>
          <t>GG</t>
        </is>
      </c>
      <c r="D55" s="188" t="inlineStr">
        <is>
          <t>M</t>
        </is>
      </c>
      <c r="E55" s="188" t="n">
        <v>98</v>
      </c>
      <c r="F55" s="188" t="n">
        <v>1.74</v>
      </c>
      <c r="G55" s="188" t="n">
        <v>41</v>
      </c>
      <c r="H55" s="189" t="inlineStr">
        <is>
          <t>(62) 99495-8095</t>
        </is>
      </c>
      <c r="I55" s="189" t="inlineStr">
        <is>
          <t>Goiânia</t>
        </is>
      </c>
      <c r="J55" s="189" t="inlineStr">
        <is>
          <t>Não</t>
        </is>
      </c>
      <c r="K55" s="189" t="inlineStr">
        <is>
          <t>Esposa Lilian</t>
        </is>
      </c>
      <c r="L55" s="189" t="inlineStr">
        <is>
          <t>(62) 99323-8212</t>
        </is>
      </c>
      <c r="M55" s="189" t="inlineStr">
        <is>
          <t>Edson</t>
        </is>
      </c>
      <c r="N55" s="189" t="inlineStr">
        <is>
          <t>(62) 99289-0433</t>
        </is>
      </c>
      <c r="O55" s="189" t="inlineStr">
        <is>
          <t>Alergia a pimenta</t>
        </is>
      </c>
      <c r="P55" s="189" t="inlineStr">
        <is>
          <t>1985-01-14</t>
        </is>
      </c>
      <c r="Q55" s="199" t="inlineStr">
        <is>
          <t>Issacar</t>
        </is>
      </c>
      <c r="R55" s="191" t="inlineStr"/>
    </row>
    <row r="56">
      <c r="A56" s="188" t="n">
        <v>55</v>
      </c>
      <c r="B56" s="189" t="inlineStr">
        <is>
          <t>HUGO FERNANDO CORREA</t>
        </is>
      </c>
      <c r="C56" s="188" t="inlineStr">
        <is>
          <t>M</t>
        </is>
      </c>
      <c r="D56" s="188" t="inlineStr">
        <is>
          <t>M</t>
        </is>
      </c>
      <c r="E56" s="188" t="n">
        <v>86</v>
      </c>
      <c r="F56" s="188" t="n">
        <v>1.7</v>
      </c>
      <c r="G56" s="188" t="n">
        <v>34</v>
      </c>
      <c r="H56" s="189" t="inlineStr">
        <is>
          <t>+55 (62) 99205-9211</t>
        </is>
      </c>
      <c r="I56" s="189" t="inlineStr">
        <is>
          <t>Goiânia</t>
        </is>
      </c>
      <c r="J56" s="189" t="inlineStr">
        <is>
          <t>Não</t>
        </is>
      </c>
      <c r="K56" s="189" t="inlineStr">
        <is>
          <t>Itamar</t>
        </is>
      </c>
      <c r="L56" s="189" t="inlineStr">
        <is>
          <t>6298218-1197</t>
        </is>
      </c>
      <c r="M56" s="189" t="inlineStr">
        <is>
          <t>Thiago</t>
        </is>
      </c>
      <c r="N56" s="189" t="inlineStr">
        <is>
          <t>6199611-0805</t>
        </is>
      </c>
      <c r="O56" s="189" t="inlineStr">
        <is>
          <t>não</t>
        </is>
      </c>
      <c r="P56" s="189" t="inlineStr">
        <is>
          <t>1991-09-25</t>
        </is>
      </c>
      <c r="Q56" s="193" t="inlineStr">
        <is>
          <t>Levi</t>
        </is>
      </c>
      <c r="R56" s="191" t="inlineStr"/>
    </row>
    <row r="57">
      <c r="A57" s="188" t="n">
        <v>56</v>
      </c>
      <c r="B57" s="189" t="inlineStr">
        <is>
          <t>Hélio Cananéia Miranda Junior</t>
        </is>
      </c>
      <c r="C57" s="188" t="inlineStr">
        <is>
          <t>G</t>
        </is>
      </c>
      <c r="D57" s="188" t="inlineStr">
        <is>
          <t>M</t>
        </is>
      </c>
      <c r="E57" s="188" t="n">
        <v>67</v>
      </c>
      <c r="F57" s="188" t="n">
        <v>1.72</v>
      </c>
      <c r="G57" s="188" t="n">
        <v>39</v>
      </c>
      <c r="H57" s="189" t="inlineStr">
        <is>
          <t>+55 (62) 98151-5621</t>
        </is>
      </c>
      <c r="I57" s="189" t="inlineStr">
        <is>
          <t>Goiânia</t>
        </is>
      </c>
      <c r="J57" s="189" t="inlineStr">
        <is>
          <t>Não</t>
        </is>
      </c>
      <c r="K57" s="189" t="inlineStr">
        <is>
          <t>Juliana Cunha Cananéia</t>
        </is>
      </c>
      <c r="L57" s="189" t="inlineStr">
        <is>
          <t>(62)98155-9606</t>
        </is>
      </c>
      <c r="M57" s="189" t="inlineStr">
        <is>
          <t>Ana Paula Neves de Castro</t>
        </is>
      </c>
      <c r="N57" s="189" t="inlineStr">
        <is>
          <t>(62)99990-9557</t>
        </is>
      </c>
      <c r="O57" s="189" t="inlineStr">
        <is>
          <t>Não</t>
        </is>
      </c>
      <c r="P57" s="189" t="inlineStr">
        <is>
          <t>1986-04-17</t>
        </is>
      </c>
      <c r="Q57" s="199" t="inlineStr">
        <is>
          <t>Issacar</t>
        </is>
      </c>
      <c r="R57" s="191" t="inlineStr"/>
    </row>
    <row r="58">
      <c r="A58" s="188" t="n">
        <v>57</v>
      </c>
      <c r="B58" s="189" t="inlineStr">
        <is>
          <t>Isadora Silva Salomão</t>
        </is>
      </c>
      <c r="C58" s="188" t="inlineStr">
        <is>
          <t>GG</t>
        </is>
      </c>
      <c r="D58" s="188" t="inlineStr">
        <is>
          <t>F</t>
        </is>
      </c>
      <c r="E58" s="188" t="n">
        <v>90</v>
      </c>
      <c r="F58" s="188" t="n">
        <v>1.7</v>
      </c>
      <c r="G58" s="188" t="n">
        <v>26</v>
      </c>
      <c r="H58" s="189" t="inlineStr">
        <is>
          <t>+55 (61) 99639-5330</t>
        </is>
      </c>
      <c r="I58" s="189" t="inlineStr">
        <is>
          <t>Goiânia</t>
        </is>
      </c>
      <c r="J58" s="189" t="inlineStr">
        <is>
          <t>Não</t>
        </is>
      </c>
      <c r="K58" s="189" t="inlineStr">
        <is>
          <t>Thays Brom</t>
        </is>
      </c>
      <c r="L58" s="189" t="inlineStr">
        <is>
          <t>+55 62 98285-3083</t>
        </is>
      </c>
      <c r="M58" s="189" t="inlineStr">
        <is>
          <t>Jhessica Lopes</t>
        </is>
      </c>
      <c r="N58" s="189" t="inlineStr">
        <is>
          <t>+55 62 99202-5749</t>
        </is>
      </c>
      <c r="O58" s="189" t="inlineStr">
        <is>
          <t>Não</t>
        </is>
      </c>
      <c r="P58" s="189" t="inlineStr">
        <is>
          <t>1999-10-21</t>
        </is>
      </c>
      <c r="Q58" s="199" t="inlineStr">
        <is>
          <t>Issacar</t>
        </is>
      </c>
      <c r="R58" s="191" t="inlineStr"/>
    </row>
    <row r="59">
      <c r="A59" s="188" t="n">
        <v>58</v>
      </c>
      <c r="B59" s="189" t="inlineStr">
        <is>
          <t>Izadora Lima Pires</t>
        </is>
      </c>
      <c r="C59" s="188" t="inlineStr">
        <is>
          <t>P</t>
        </is>
      </c>
      <c r="D59" s="188" t="inlineStr">
        <is>
          <t>F</t>
        </is>
      </c>
      <c r="E59" s="188" t="n">
        <v>60</v>
      </c>
      <c r="F59" s="188" t="n">
        <v>1.57</v>
      </c>
      <c r="G59" s="188" t="n">
        <v>35</v>
      </c>
      <c r="H59" s="189" t="inlineStr">
        <is>
          <t>+55 (62) 99972-2914</t>
        </is>
      </c>
      <c r="I59" s="189" t="inlineStr">
        <is>
          <t>Goiania</t>
        </is>
      </c>
      <c r="J59" s="189" t="inlineStr">
        <is>
          <t>Guilherme Henrique Oliveira Martins</t>
        </is>
      </c>
      <c r="K59" s="189" t="inlineStr">
        <is>
          <t>Izabela, irmã,</t>
        </is>
      </c>
      <c r="L59" s="189" t="inlineStr">
        <is>
          <t>62 982806605</t>
        </is>
      </c>
      <c r="M59" s="189" t="inlineStr">
        <is>
          <t>Edenia, mãe</t>
        </is>
      </c>
      <c r="N59" s="189" t="inlineStr">
        <is>
          <t>62999651486</t>
        </is>
      </c>
      <c r="O59" s="189" t="inlineStr">
        <is>
          <t>cebola, cebolinha, insetos quase todos exceto abelha</t>
        </is>
      </c>
      <c r="P59" s="189" t="inlineStr">
        <is>
          <t>1991-04-13</t>
        </is>
      </c>
      <c r="Q59" s="248" t="inlineStr">
        <is>
          <t>Zabulom</t>
        </is>
      </c>
      <c r="R59" s="191" t="inlineStr"/>
    </row>
    <row r="60">
      <c r="A60" s="188" t="n">
        <v>59</v>
      </c>
      <c r="B60" s="189" t="inlineStr">
        <is>
          <t>Jakelynne Soares Pinheiro</t>
        </is>
      </c>
      <c r="C60" s="188" t="inlineStr">
        <is>
          <t>P</t>
        </is>
      </c>
      <c r="D60" s="188" t="inlineStr">
        <is>
          <t>F</t>
        </is>
      </c>
      <c r="E60" s="188" t="n">
        <v>60</v>
      </c>
      <c r="F60" s="188" t="n">
        <v>1.61</v>
      </c>
      <c r="G60" s="188" t="n">
        <v>35</v>
      </c>
      <c r="H60" s="189" t="inlineStr">
        <is>
          <t>+55 (62) 99245-1368</t>
        </is>
      </c>
      <c r="I60" s="189" t="inlineStr">
        <is>
          <t>Goiânia</t>
        </is>
      </c>
      <c r="J60" s="189" t="inlineStr">
        <is>
          <t>Não</t>
        </is>
      </c>
      <c r="K60" s="189" t="inlineStr">
        <is>
          <t>Cecília</t>
        </is>
      </c>
      <c r="L60" s="189" t="inlineStr">
        <is>
          <t>62 98425-0084</t>
        </is>
      </c>
      <c r="M60" s="189" t="inlineStr">
        <is>
          <t>Marília</t>
        </is>
      </c>
      <c r="N60" s="189" t="inlineStr">
        <is>
          <t>62 98403-7268</t>
        </is>
      </c>
      <c r="O60" s="189" t="inlineStr">
        <is>
          <t>Não</t>
        </is>
      </c>
      <c r="P60" s="189" t="inlineStr">
        <is>
          <t>1990-10-23</t>
        </is>
      </c>
      <c r="Q60" s="195" t="inlineStr">
        <is>
          <t>Judá</t>
        </is>
      </c>
      <c r="R60" s="191" t="inlineStr"/>
    </row>
    <row r="61">
      <c r="A61" s="188" t="n">
        <v>60</v>
      </c>
      <c r="B61" s="189" t="inlineStr">
        <is>
          <t>Jessica Batista alves</t>
        </is>
      </c>
      <c r="C61" s="188" t="inlineStr">
        <is>
          <t>M</t>
        </is>
      </c>
      <c r="D61" s="188" t="inlineStr">
        <is>
          <t>F</t>
        </is>
      </c>
      <c r="E61" s="188" t="n">
        <v>64</v>
      </c>
      <c r="F61" s="188" t="n">
        <v>1.63</v>
      </c>
      <c r="G61" s="188" t="n">
        <v>32</v>
      </c>
      <c r="H61" s="189" t="inlineStr">
        <is>
          <t>+55 (62) 99404-9132</t>
        </is>
      </c>
      <c r="I61" s="189" t="inlineStr">
        <is>
          <t>Goiânia</t>
        </is>
      </c>
      <c r="J61" s="189" t="inlineStr">
        <is>
          <t>não</t>
        </is>
      </c>
      <c r="K61" s="189" t="inlineStr">
        <is>
          <t>mãe 62993689293</t>
        </is>
      </c>
      <c r="L61" s="189" t="inlineStr">
        <is>
          <t>62993753078</t>
        </is>
      </c>
      <c r="M61" s="189" t="inlineStr">
        <is>
          <t>Letícia 62993753078</t>
        </is>
      </c>
      <c r="N61" s="189" t="inlineStr">
        <is>
          <t>62994049132</t>
        </is>
      </c>
      <c r="O61" s="189" t="inlineStr">
        <is>
          <t>nao6</t>
        </is>
      </c>
      <c r="P61" s="189" t="inlineStr">
        <is>
          <t>1993-11-27</t>
        </is>
      </c>
      <c r="Q61" s="190" t="inlineStr">
        <is>
          <t>Benjamim</t>
        </is>
      </c>
      <c r="R61" s="191" t="inlineStr"/>
    </row>
    <row r="62">
      <c r="A62" s="188" t="n">
        <v>61</v>
      </c>
      <c r="B62" s="189" t="inlineStr">
        <is>
          <t>Jessica Damasceno</t>
        </is>
      </c>
      <c r="C62" s="188" t="inlineStr">
        <is>
          <t>PP</t>
        </is>
      </c>
      <c r="D62" s="188" t="inlineStr">
        <is>
          <t>F</t>
        </is>
      </c>
      <c r="E62" s="188" t="n">
        <v>59</v>
      </c>
      <c r="F62" s="188" t="n">
        <v>1.64</v>
      </c>
      <c r="G62" s="188" t="n">
        <v>29</v>
      </c>
      <c r="H62" s="189" t="inlineStr">
        <is>
          <t>+55 (62) 99135-0892</t>
        </is>
      </c>
      <c r="I62" s="189" t="inlineStr">
        <is>
          <t>Goiânia</t>
        </is>
      </c>
      <c r="J62" s="189" t="inlineStr">
        <is>
          <t>Não</t>
        </is>
      </c>
      <c r="K62" s="189" t="inlineStr">
        <is>
          <t>Mãe</t>
        </is>
      </c>
      <c r="L62" s="189" t="inlineStr">
        <is>
          <t>(62)992617057</t>
        </is>
      </c>
      <c r="M62" s="189" t="inlineStr">
        <is>
          <t>Pai</t>
        </is>
      </c>
      <c r="N62" s="189" t="inlineStr">
        <is>
          <t>(62)991214556</t>
        </is>
      </c>
      <c r="O62" s="189" t="inlineStr">
        <is>
          <t>Alergia a picada de insetos</t>
        </is>
      </c>
      <c r="P62" s="189" t="inlineStr">
        <is>
          <t>1996-07-31</t>
        </is>
      </c>
      <c r="Q62" s="248" t="inlineStr">
        <is>
          <t>Zabulom</t>
        </is>
      </c>
      <c r="R62" s="191" t="inlineStr"/>
    </row>
    <row r="63">
      <c r="A63" s="188" t="n">
        <v>62</v>
      </c>
      <c r="B63" s="189" t="inlineStr">
        <is>
          <t>JOYCE CARNEIRO NAVES DE LIMA</t>
        </is>
      </c>
      <c r="C63" s="188" t="inlineStr">
        <is>
          <t>M</t>
        </is>
      </c>
      <c r="D63" s="188" t="inlineStr">
        <is>
          <t>F</t>
        </is>
      </c>
      <c r="E63" s="188" t="n">
        <v>67</v>
      </c>
      <c r="F63" s="188" t="n">
        <v>1.71</v>
      </c>
      <c r="G63" s="188" t="n">
        <v>53</v>
      </c>
      <c r="H63" s="189" t="inlineStr">
        <is>
          <t>+55 (62) 99226-0926</t>
        </is>
      </c>
      <c r="I63" s="189" t="inlineStr">
        <is>
          <t>Goiânia</t>
        </is>
      </c>
      <c r="J63" s="189" t="inlineStr">
        <is>
          <t>Ivone e Ana Gabriela</t>
        </is>
      </c>
      <c r="K63" s="189" t="inlineStr">
        <is>
          <t>Júlio César Naves</t>
        </is>
      </c>
      <c r="L63" s="189" t="inlineStr">
        <is>
          <t>62992990955</t>
        </is>
      </c>
      <c r="M63" s="189" t="inlineStr">
        <is>
          <t>Marize Naves</t>
        </is>
      </c>
      <c r="N63" s="189" t="inlineStr">
        <is>
          <t>62992990968</t>
        </is>
      </c>
      <c r="O63" s="189" t="inlineStr">
        <is>
          <t>Não</t>
        </is>
      </c>
      <c r="P63" s="189" t="inlineStr">
        <is>
          <t>1973-02-18</t>
        </is>
      </c>
      <c r="Q63" s="196" t="inlineStr">
        <is>
          <t>EFRAIM</t>
        </is>
      </c>
      <c r="R63" s="191" t="inlineStr"/>
    </row>
    <row r="64">
      <c r="A64" s="188" t="n">
        <v>63</v>
      </c>
      <c r="B64" s="189" t="inlineStr">
        <is>
          <t>João adalberth Pereira dos Santos</t>
        </is>
      </c>
      <c r="C64" s="188" t="inlineStr">
        <is>
          <t>G</t>
        </is>
      </c>
      <c r="D64" s="188" t="inlineStr">
        <is>
          <t>M</t>
        </is>
      </c>
      <c r="E64" s="188" t="n">
        <v>86</v>
      </c>
      <c r="F64" s="188" t="n">
        <v>1.81</v>
      </c>
      <c r="G64" s="188" t="n">
        <v>24</v>
      </c>
      <c r="H64" s="189" t="inlineStr">
        <is>
          <t>+55 (62) 98239-9771</t>
        </is>
      </c>
      <c r="I64" s="189" t="inlineStr">
        <is>
          <t>Goiânia</t>
        </is>
      </c>
      <c r="J64" s="189" t="inlineStr">
        <is>
          <t>Nao</t>
        </is>
      </c>
      <c r="K64" s="189" t="inlineStr">
        <is>
          <t>98981359264</t>
        </is>
      </c>
      <c r="L64" s="189" t="inlineStr">
        <is>
          <t>62998307871</t>
        </is>
      </c>
      <c r="M64" s="189" t="inlineStr">
        <is>
          <t>62996076836</t>
        </is>
      </c>
      <c r="N64" s="189" t="inlineStr">
        <is>
          <t>62982399771</t>
        </is>
      </c>
      <c r="O64" s="189" t="inlineStr">
        <is>
          <t>Não</t>
        </is>
      </c>
      <c r="P64" s="189" t="inlineStr">
        <is>
          <t>2002-02-24</t>
        </is>
      </c>
      <c r="Q64" s="194" t="inlineStr">
        <is>
          <t>Simeão</t>
        </is>
      </c>
      <c r="R64" s="191" t="inlineStr"/>
    </row>
    <row r="65">
      <c r="A65" s="188" t="n">
        <v>64</v>
      </c>
      <c r="B65" s="189" t="inlineStr">
        <is>
          <t>João Batista Espíndola</t>
        </is>
      </c>
      <c r="C65" s="188" t="inlineStr">
        <is>
          <t>G</t>
        </is>
      </c>
      <c r="D65" s="188" t="inlineStr">
        <is>
          <t>M</t>
        </is>
      </c>
      <c r="E65" s="188" t="n">
        <v>92</v>
      </c>
      <c r="F65" s="188" t="n">
        <v>1.7</v>
      </c>
      <c r="G65" s="188" t="n">
        <v>45</v>
      </c>
      <c r="H65" s="189" t="inlineStr">
        <is>
          <t>+55 (62) 99968-4577</t>
        </is>
      </c>
      <c r="I65" s="189" t="inlineStr">
        <is>
          <t>Goiânia</t>
        </is>
      </c>
      <c r="J65" s="189" t="inlineStr">
        <is>
          <t>Não</t>
        </is>
      </c>
      <c r="K65" s="189" t="inlineStr">
        <is>
          <t>Hirllany Patrícia Dutra de Souza (esposa)</t>
        </is>
      </c>
      <c r="L65" s="189" t="inlineStr">
        <is>
          <t>62991923942</t>
        </is>
      </c>
      <c r="M65" s="189" t="inlineStr">
        <is>
          <t>Lidiany Danyelle Dutra de Souza (cunhada)</t>
        </is>
      </c>
      <c r="N65" s="189" t="inlineStr">
        <is>
          <t>62981128059</t>
        </is>
      </c>
      <c r="O65" s="189" t="inlineStr">
        <is>
          <t>Não</t>
        </is>
      </c>
      <c r="P65" s="189" t="inlineStr">
        <is>
          <t>1980-09-15</t>
        </is>
      </c>
      <c r="Q65" s="192" t="inlineStr">
        <is>
          <t>Rubem</t>
        </is>
      </c>
      <c r="R65" s="191" t="inlineStr"/>
    </row>
    <row r="66">
      <c r="A66" s="188" t="n">
        <v>65</v>
      </c>
      <c r="B66" s="189" t="inlineStr">
        <is>
          <t>João Marcos Ribeiro Pires</t>
        </is>
      </c>
      <c r="C66" s="188" t="inlineStr">
        <is>
          <t>P</t>
        </is>
      </c>
      <c r="D66" s="188" t="inlineStr">
        <is>
          <t>M</t>
        </is>
      </c>
      <c r="E66" s="188" t="n">
        <v>76</v>
      </c>
      <c r="F66" s="188" t="inlineStr"/>
      <c r="G66" s="188" t="n">
        <v>32</v>
      </c>
      <c r="H66" s="189" t="inlineStr">
        <is>
          <t>+55 (62) 98464-1658</t>
        </is>
      </c>
      <c r="I66" s="189" t="inlineStr">
        <is>
          <t>Goiânia</t>
        </is>
      </c>
      <c r="J66" s="189" t="inlineStr">
        <is>
          <t>Tenho uma amiga: Natana Miranda</t>
        </is>
      </c>
      <c r="K66" s="189" t="inlineStr">
        <is>
          <t>Aline Cardoso (amiga)</t>
        </is>
      </c>
      <c r="L66" s="189" t="inlineStr">
        <is>
          <t>62 99411-0813</t>
        </is>
      </c>
      <c r="M66" s="189" t="inlineStr">
        <is>
          <t>Ediene (mãe)</t>
        </is>
      </c>
      <c r="N66" s="189" t="inlineStr">
        <is>
          <t>6298409-1887</t>
        </is>
      </c>
      <c r="O66" s="189" t="inlineStr">
        <is>
          <t>Paracetamol</t>
        </is>
      </c>
      <c r="P66" s="189" t="inlineStr">
        <is>
          <t>1993-07-17</t>
        </is>
      </c>
      <c r="Q66" s="196" t="inlineStr">
        <is>
          <t>EFRAIM</t>
        </is>
      </c>
      <c r="R66" s="191" t="inlineStr"/>
    </row>
    <row r="67">
      <c r="A67" s="188" t="n">
        <v>66</v>
      </c>
      <c r="B67" s="189" t="inlineStr">
        <is>
          <t>João Paulo Souza</t>
        </is>
      </c>
      <c r="C67" s="188" t="inlineStr">
        <is>
          <t>M</t>
        </is>
      </c>
      <c r="D67" s="188" t="inlineStr">
        <is>
          <t>M</t>
        </is>
      </c>
      <c r="E67" s="188" t="n">
        <v>78</v>
      </c>
      <c r="F67" s="188" t="n">
        <v>1.67</v>
      </c>
      <c r="G67" s="188" t="n">
        <v>41</v>
      </c>
      <c r="H67" s="189" t="inlineStr">
        <is>
          <t>+55 (62) 99134-1898</t>
        </is>
      </c>
      <c r="I67" s="189" t="inlineStr">
        <is>
          <t>Goiânia</t>
        </is>
      </c>
      <c r="J67" s="189" t="inlineStr">
        <is>
          <t>Nao</t>
        </is>
      </c>
      <c r="K67" s="189" t="inlineStr">
        <is>
          <t>Esposa Livia</t>
        </is>
      </c>
      <c r="L67" s="189" t="inlineStr">
        <is>
          <t>62991683095</t>
        </is>
      </c>
      <c r="M67" s="189" t="inlineStr">
        <is>
          <t>Edson</t>
        </is>
      </c>
      <c r="N67" s="189" t="inlineStr">
        <is>
          <t>(62) 98564-4523</t>
        </is>
      </c>
      <c r="O67" s="189" t="inlineStr">
        <is>
          <t>Nao</t>
        </is>
      </c>
      <c r="P67" s="189" t="inlineStr">
        <is>
          <t>1984-06-24</t>
        </is>
      </c>
      <c r="Q67" s="248" t="inlineStr">
        <is>
          <t>Zabulom</t>
        </is>
      </c>
      <c r="R67" s="191" t="inlineStr"/>
    </row>
    <row r="68">
      <c r="A68" s="188" t="n">
        <v>67</v>
      </c>
      <c r="B68" s="189" t="inlineStr">
        <is>
          <t>João Victor Vieira de Pádua</t>
        </is>
      </c>
      <c r="C68" s="188" t="inlineStr">
        <is>
          <t>GG1</t>
        </is>
      </c>
      <c r="D68" s="188" t="inlineStr">
        <is>
          <t>M</t>
        </is>
      </c>
      <c r="E68" s="188" t="n">
        <v>110</v>
      </c>
      <c r="F68" s="188" t="n">
        <v>1.85</v>
      </c>
      <c r="G68" s="188" t="n">
        <v>28</v>
      </c>
      <c r="H68" s="189" t="inlineStr">
        <is>
          <t>+55 (52) 98215-1410</t>
        </is>
      </c>
      <c r="I68" s="189" t="inlineStr">
        <is>
          <t>Goiânia</t>
        </is>
      </c>
      <c r="J68" s="189" t="inlineStr">
        <is>
          <t>não</t>
        </is>
      </c>
      <c r="K68" s="189" t="inlineStr">
        <is>
          <t>Maria Alice</t>
        </is>
      </c>
      <c r="L68" s="189" t="inlineStr">
        <is>
          <t>62982455007</t>
        </is>
      </c>
      <c r="M68" s="189" t="inlineStr">
        <is>
          <t>Maria Alice</t>
        </is>
      </c>
      <c r="N68" s="189" t="inlineStr">
        <is>
          <t>62982455007</t>
        </is>
      </c>
      <c r="O68" s="189" t="inlineStr">
        <is>
          <t>não</t>
        </is>
      </c>
      <c r="P68" s="189" t="inlineStr">
        <is>
          <t>1997-10-03</t>
        </is>
      </c>
      <c r="Q68" s="248" t="inlineStr">
        <is>
          <t>Zabulom</t>
        </is>
      </c>
      <c r="R68" s="191" t="inlineStr"/>
    </row>
    <row r="69">
      <c r="A69" s="200" t="n">
        <v>68</v>
      </c>
      <c r="B69" s="201" t="inlineStr">
        <is>
          <t>Adriana Cristina de Lima Araújo</t>
        </is>
      </c>
      <c r="C69" s="200" t="inlineStr">
        <is>
          <t>G1</t>
        </is>
      </c>
      <c r="D69" s="200" t="inlineStr">
        <is>
          <t>F</t>
        </is>
      </c>
      <c r="E69" s="200" t="n">
        <v>98</v>
      </c>
      <c r="F69" s="200" t="n">
        <v>1.59</v>
      </c>
      <c r="G69" s="200" t="n">
        <v>33</v>
      </c>
      <c r="H69" s="201" t="inlineStr">
        <is>
          <t>+55 (62) 98582-1103</t>
        </is>
      </c>
      <c r="I69" s="201" t="inlineStr">
        <is>
          <t>Goiânia</t>
        </is>
      </c>
      <c r="J69" s="201" t="inlineStr">
        <is>
          <t>Sim, Michele amiga que o Ninho me deu</t>
        </is>
      </c>
      <c r="K69" s="201" t="inlineStr">
        <is>
          <t>Gabriel Esposo</t>
        </is>
      </c>
      <c r="L69" s="201" t="inlineStr">
        <is>
          <t>62985413489</t>
        </is>
      </c>
      <c r="M69" s="201" t="inlineStr">
        <is>
          <t>Maria Mãe</t>
        </is>
      </c>
      <c r="N69" s="201" t="inlineStr">
        <is>
          <t>62991184804</t>
        </is>
      </c>
      <c r="O69" s="201" t="inlineStr">
        <is>
          <t>Alergia a bromoprida na veia</t>
        </is>
      </c>
      <c r="P69" s="201" t="inlineStr">
        <is>
          <t>1992-06-19</t>
        </is>
      </c>
      <c r="Q69" s="248" t="inlineStr">
        <is>
          <t>Zabulom</t>
        </is>
      </c>
      <c r="R69" s="191" t="inlineStr"/>
    </row>
    <row r="70">
      <c r="A70" s="188" t="n">
        <v>69</v>
      </c>
      <c r="B70" s="189" t="inlineStr">
        <is>
          <t>Júlia Santos de Assis</t>
        </is>
      </c>
      <c r="C70" s="188" t="inlineStr">
        <is>
          <t>P</t>
        </is>
      </c>
      <c r="D70" s="188" t="inlineStr">
        <is>
          <t>F</t>
        </is>
      </c>
      <c r="E70" s="188" t="n">
        <v>68</v>
      </c>
      <c r="F70" s="188" t="n">
        <v>1.67</v>
      </c>
      <c r="G70" s="188" t="n">
        <v>21</v>
      </c>
      <c r="H70" s="189" t="inlineStr">
        <is>
          <t>+55 (62) 98224-5578</t>
        </is>
      </c>
      <c r="I70" s="189" t="inlineStr">
        <is>
          <t>Goiânia</t>
        </is>
      </c>
      <c r="J70" s="189" t="inlineStr">
        <is>
          <t>Nao</t>
        </is>
      </c>
      <c r="K70" s="189" t="inlineStr">
        <is>
          <t>Neusa</t>
        </is>
      </c>
      <c r="L70" s="189" t="inlineStr">
        <is>
          <t>62981133823</t>
        </is>
      </c>
      <c r="M70" s="189" t="inlineStr">
        <is>
          <t>Tyessa</t>
        </is>
      </c>
      <c r="N70" s="189" t="inlineStr">
        <is>
          <t>62984476290</t>
        </is>
      </c>
      <c r="O70" s="189" t="inlineStr">
        <is>
          <t>Amoxicilina</t>
        </is>
      </c>
      <c r="P70" s="189" t="inlineStr">
        <is>
          <t>2004-09-21</t>
        </is>
      </c>
      <c r="Q70" s="193" t="inlineStr">
        <is>
          <t>Levi</t>
        </is>
      </c>
      <c r="R70" s="191" t="inlineStr"/>
    </row>
    <row r="71">
      <c r="A71" s="188" t="n">
        <v>70</v>
      </c>
      <c r="B71" s="189" t="inlineStr">
        <is>
          <t>Karla Carvalho Miranda</t>
        </is>
      </c>
      <c r="C71" s="188" t="inlineStr">
        <is>
          <t>M</t>
        </is>
      </c>
      <c r="D71" s="188" t="inlineStr">
        <is>
          <t>F</t>
        </is>
      </c>
      <c r="E71" s="188" t="n">
        <v>63</v>
      </c>
      <c r="F71" s="188" t="n">
        <v>1.58</v>
      </c>
      <c r="G71" s="188" t="n">
        <v>48</v>
      </c>
      <c r="H71" s="189" t="inlineStr">
        <is>
          <t>+55 (62) 99253-7279</t>
        </is>
      </c>
      <c r="I71" s="189" t="inlineStr">
        <is>
          <t>Goiânia</t>
        </is>
      </c>
      <c r="J71" s="189" t="inlineStr">
        <is>
          <t>Não</t>
        </is>
      </c>
      <c r="K71" s="189" t="inlineStr">
        <is>
          <t>Terezinha R.Carvalho Miranda (mãe)</t>
        </is>
      </c>
      <c r="L71" s="189" t="inlineStr">
        <is>
          <t>(64) 992296863</t>
        </is>
      </c>
      <c r="M71" s="189" t="inlineStr">
        <is>
          <t>Talitah Carvalho dos Santos (prima)</t>
        </is>
      </c>
      <c r="N71" s="189" t="inlineStr">
        <is>
          <t>62982886429</t>
        </is>
      </c>
      <c r="O71" s="189" t="inlineStr">
        <is>
          <t>Não</t>
        </is>
      </c>
      <c r="P71" s="189" t="inlineStr">
        <is>
          <t>1977-10-31</t>
        </is>
      </c>
      <c r="Q71" s="248" t="inlineStr">
        <is>
          <t>Zabulom</t>
        </is>
      </c>
      <c r="R71" s="191" t="inlineStr"/>
    </row>
    <row r="72">
      <c r="A72" s="188" t="n">
        <v>71</v>
      </c>
      <c r="B72" s="189" t="inlineStr">
        <is>
          <t>Karla Regina da Silva Rodrigues</t>
        </is>
      </c>
      <c r="C72" s="188" t="inlineStr">
        <is>
          <t>M</t>
        </is>
      </c>
      <c r="D72" s="188" t="inlineStr">
        <is>
          <t>F</t>
        </is>
      </c>
      <c r="E72" s="188" t="n">
        <v>76</v>
      </c>
      <c r="F72" s="188" t="n">
        <v>1.64</v>
      </c>
      <c r="G72" s="188" t="n">
        <v>45</v>
      </c>
      <c r="H72" s="189" t="inlineStr">
        <is>
          <t>+55 (62) 99983-0332</t>
        </is>
      </c>
      <c r="I72" s="189" t="inlineStr">
        <is>
          <t>Goiânia</t>
        </is>
      </c>
      <c r="J72" s="189" t="inlineStr">
        <is>
          <t>meu esposo Carlos Bruno Rodrigues</t>
        </is>
      </c>
      <c r="K72" s="189" t="inlineStr">
        <is>
          <t>Giovanna</t>
        </is>
      </c>
      <c r="L72" s="189" t="inlineStr">
        <is>
          <t>6299518515</t>
        </is>
      </c>
      <c r="M72" s="189" t="inlineStr">
        <is>
          <t>Gabriella</t>
        </is>
      </c>
      <c r="N72" s="189" t="inlineStr">
        <is>
          <t>62992448557</t>
        </is>
      </c>
      <c r="O72" s="189" t="inlineStr">
        <is>
          <t>não</t>
        </is>
      </c>
      <c r="P72" s="189" t="inlineStr">
        <is>
          <t>1980-06-02</t>
        </is>
      </c>
      <c r="Q72" s="190" t="inlineStr">
        <is>
          <t>Benjamim</t>
        </is>
      </c>
      <c r="R72" s="191" t="n">
        <v>19</v>
      </c>
    </row>
    <row r="73">
      <c r="A73" s="188" t="n">
        <v>72</v>
      </c>
      <c r="B73" s="189" t="inlineStr">
        <is>
          <t>Kauan Henrique de Siqueira Dutra</t>
        </is>
      </c>
      <c r="C73" s="188" t="inlineStr">
        <is>
          <t>M</t>
        </is>
      </c>
      <c r="D73" s="188" t="inlineStr">
        <is>
          <t>M</t>
        </is>
      </c>
      <c r="E73" s="188" t="n">
        <v>65</v>
      </c>
      <c r="F73" s="188" t="n">
        <v>1.8</v>
      </c>
      <c r="G73" s="188" t="n">
        <v>21</v>
      </c>
      <c r="H73" s="189" t="inlineStr">
        <is>
          <t>+55 (62) 99847-7622</t>
        </is>
      </c>
      <c r="I73" s="189" t="inlineStr">
        <is>
          <t>Silvânia-GO</t>
        </is>
      </c>
      <c r="J73" s="189" t="inlineStr">
        <is>
          <t>Não</t>
        </is>
      </c>
      <c r="K73" s="189" t="inlineStr">
        <is>
          <t>Taianny Dutra</t>
        </is>
      </c>
      <c r="L73" s="189" t="inlineStr">
        <is>
          <t>62 99941-3562</t>
        </is>
      </c>
      <c r="M73" s="189" t="inlineStr">
        <is>
          <t>Guilherme Sousa</t>
        </is>
      </c>
      <c r="N73" s="189" t="inlineStr">
        <is>
          <t>62 99680-0397</t>
        </is>
      </c>
      <c r="O73" s="189" t="inlineStr">
        <is>
          <t>Não</t>
        </is>
      </c>
      <c r="P73" s="189" t="inlineStr">
        <is>
          <t>2004-08-04</t>
        </is>
      </c>
      <c r="Q73" s="193" t="inlineStr">
        <is>
          <t>Levi</t>
        </is>
      </c>
      <c r="R73" s="191" t="inlineStr"/>
    </row>
    <row r="74">
      <c r="A74" s="188" t="n">
        <v>73</v>
      </c>
      <c r="B74" s="189" t="inlineStr">
        <is>
          <t>Kleiva Gonçalves Venâncio</t>
        </is>
      </c>
      <c r="C74" s="188" t="inlineStr">
        <is>
          <t>M</t>
        </is>
      </c>
      <c r="D74" s="188" t="inlineStr">
        <is>
          <t>F</t>
        </is>
      </c>
      <c r="E74" s="188" t="n">
        <v>61</v>
      </c>
      <c r="F74" s="188" t="n">
        <v>1.63</v>
      </c>
      <c r="G74" s="188" t="n">
        <v>32</v>
      </c>
      <c r="H74" s="189" t="inlineStr">
        <is>
          <t>+55 (62) 98459-4855</t>
        </is>
      </c>
      <c r="I74" s="189" t="inlineStr">
        <is>
          <t>Jussara Go</t>
        </is>
      </c>
      <c r="J74" s="189" t="inlineStr">
        <is>
          <t>não</t>
        </is>
      </c>
      <c r="K74" s="189" t="inlineStr">
        <is>
          <t>Iêda Aparecida Gonçalves</t>
        </is>
      </c>
      <c r="L74" s="189" t="inlineStr">
        <is>
          <t>62984430611</t>
        </is>
      </c>
      <c r="M74" s="189" t="inlineStr">
        <is>
          <t>Camila Camargo Vieira</t>
        </is>
      </c>
      <c r="N74" s="189" t="inlineStr">
        <is>
          <t>62982266021</t>
        </is>
      </c>
      <c r="O74" s="189" t="inlineStr">
        <is>
          <t>não</t>
        </is>
      </c>
      <c r="P74" s="189" t="inlineStr">
        <is>
          <t>1993-05-19</t>
        </is>
      </c>
      <c r="Q74" s="192" t="inlineStr">
        <is>
          <t>Rubem</t>
        </is>
      </c>
      <c r="R74" s="191" t="inlineStr"/>
    </row>
    <row r="75">
      <c r="A75" s="188" t="n">
        <v>74</v>
      </c>
      <c r="B75" s="189" t="inlineStr">
        <is>
          <t>Larissa Laisa dos Santos</t>
        </is>
      </c>
      <c r="C75" s="188" t="inlineStr">
        <is>
          <t>G</t>
        </is>
      </c>
      <c r="D75" s="188" t="inlineStr">
        <is>
          <t>F</t>
        </is>
      </c>
      <c r="E75" s="188" t="n">
        <v>69</v>
      </c>
      <c r="F75" s="188" t="n">
        <v>1.63</v>
      </c>
      <c r="G75" s="188" t="n">
        <v>39</v>
      </c>
      <c r="H75" s="189" t="inlineStr">
        <is>
          <t>+55 (62) 99158-1441</t>
        </is>
      </c>
      <c r="I75" s="189" t="inlineStr">
        <is>
          <t>Goiânia</t>
        </is>
      </c>
      <c r="J75" s="189" t="inlineStr">
        <is>
          <t>Não</t>
        </is>
      </c>
      <c r="K75" s="189" t="inlineStr">
        <is>
          <t>Édson (pai)</t>
        </is>
      </c>
      <c r="L75" s="189" t="inlineStr">
        <is>
          <t>62 99267 9516</t>
        </is>
      </c>
      <c r="M75" s="189" t="inlineStr">
        <is>
          <t>Maria (mãe)</t>
        </is>
      </c>
      <c r="N75" s="189" t="inlineStr">
        <is>
          <t>62 99268 5471</t>
        </is>
      </c>
      <c r="O75" s="189" t="inlineStr">
        <is>
          <t>Não</t>
        </is>
      </c>
      <c r="P75" s="189" t="inlineStr">
        <is>
          <t>1987-01-18</t>
        </is>
      </c>
      <c r="Q75" s="195" t="inlineStr">
        <is>
          <t>Judá</t>
        </is>
      </c>
      <c r="R75" s="191" t="inlineStr"/>
    </row>
    <row r="76">
      <c r="A76" s="188" t="n">
        <v>75</v>
      </c>
      <c r="B76" s="189" t="inlineStr">
        <is>
          <t>Larisse da Conceição de avis</t>
        </is>
      </c>
      <c r="C76" s="188" t="inlineStr">
        <is>
          <t>G1</t>
        </is>
      </c>
      <c r="D76" s="188" t="inlineStr">
        <is>
          <t>F</t>
        </is>
      </c>
      <c r="E76" s="188" t="n">
        <v>95</v>
      </c>
      <c r="F76" s="188" t="n">
        <v>1.56</v>
      </c>
      <c r="G76" s="188" t="n">
        <v>28</v>
      </c>
      <c r="H76" s="189" t="inlineStr">
        <is>
          <t>+55 (62) 99384-8361</t>
        </is>
      </c>
      <c r="I76" s="189" t="inlineStr">
        <is>
          <t>Goiania</t>
        </is>
      </c>
      <c r="J76" s="189" t="inlineStr">
        <is>
          <t>Lucas Alves Rodrigues</t>
        </is>
      </c>
      <c r="K76" s="189" t="inlineStr">
        <is>
          <t>Jedeildo</t>
        </is>
      </c>
      <c r="L76" s="189" t="inlineStr">
        <is>
          <t>62996752362</t>
        </is>
      </c>
      <c r="M76" s="189" t="inlineStr">
        <is>
          <t>Renata</t>
        </is>
      </c>
      <c r="N76" s="189" t="inlineStr">
        <is>
          <t>62984529590</t>
        </is>
      </c>
      <c r="O76" s="189" t="inlineStr">
        <is>
          <t>Não.</t>
        </is>
      </c>
      <c r="P76" s="189" t="inlineStr">
        <is>
          <t>1997-06-14</t>
        </is>
      </c>
      <c r="Q76" s="199" t="inlineStr">
        <is>
          <t>Issacar</t>
        </is>
      </c>
      <c r="R76" s="191" t="inlineStr"/>
    </row>
    <row r="77">
      <c r="A77" s="188" t="n">
        <v>76</v>
      </c>
      <c r="B77" s="189" t="inlineStr">
        <is>
          <t>LAURA NEVES</t>
        </is>
      </c>
      <c r="C77" s="188" t="inlineStr">
        <is>
          <t>G</t>
        </is>
      </c>
      <c r="D77" s="188" t="inlineStr">
        <is>
          <t>F</t>
        </is>
      </c>
      <c r="E77" s="188" t="n">
        <v>60</v>
      </c>
      <c r="F77" s="188" t="n">
        <v>1.56</v>
      </c>
      <c r="G77" s="188" t="n">
        <v>58</v>
      </c>
      <c r="H77" s="189" t="inlineStr">
        <is>
          <t>+55 (62) 99947-5083</t>
        </is>
      </c>
      <c r="I77" s="189" t="inlineStr">
        <is>
          <t>Silvania</t>
        </is>
      </c>
      <c r="J77" s="189" t="inlineStr">
        <is>
          <t>Carlos Bruno, Carla Rodrigues, Tânia Monica</t>
        </is>
      </c>
      <c r="K77" s="189" t="inlineStr">
        <is>
          <t>Maryanna</t>
        </is>
      </c>
      <c r="L77" s="189" t="inlineStr">
        <is>
          <t>62999573333</t>
        </is>
      </c>
      <c r="M77" s="189" t="inlineStr">
        <is>
          <t>Diogo Favaretti</t>
        </is>
      </c>
      <c r="N77" s="189" t="inlineStr">
        <is>
          <t>62998056686</t>
        </is>
      </c>
      <c r="O77" s="189" t="inlineStr">
        <is>
          <t>Não</t>
        </is>
      </c>
      <c r="P77" s="189" t="inlineStr">
        <is>
          <t>1968-01-03</t>
        </is>
      </c>
      <c r="Q77" s="192" t="inlineStr">
        <is>
          <t>Rubem</t>
        </is>
      </c>
      <c r="R77" s="191" t="inlineStr"/>
    </row>
    <row r="78">
      <c r="A78" s="188" t="n">
        <v>77</v>
      </c>
      <c r="B78" s="189" t="inlineStr">
        <is>
          <t>Leandro Rocha Ribeiro</t>
        </is>
      </c>
      <c r="C78" s="188" t="inlineStr">
        <is>
          <t>G</t>
        </is>
      </c>
      <c r="D78" s="188" t="inlineStr">
        <is>
          <t>M</t>
        </is>
      </c>
      <c r="E78" s="188" t="n">
        <v>88</v>
      </c>
      <c r="F78" s="188" t="n">
        <v>1.78</v>
      </c>
      <c r="G78" s="188" t="n">
        <v>43</v>
      </c>
      <c r="H78" s="189" t="inlineStr">
        <is>
          <t>+55 (62) 98445-2974</t>
        </is>
      </c>
      <c r="I78" s="189" t="inlineStr">
        <is>
          <t>Goiânia</t>
        </is>
      </c>
      <c r="J78" s="189" t="inlineStr">
        <is>
          <t>Sim Antônio (marido da Marciella)</t>
        </is>
      </c>
      <c r="K78" s="189" t="inlineStr">
        <is>
          <t>Eidnara esposa 62-98412-8380</t>
        </is>
      </c>
      <c r="L78" s="189" t="inlineStr">
        <is>
          <t>62984690899</t>
        </is>
      </c>
      <c r="M78" s="189" t="inlineStr">
        <is>
          <t>Paula irmã 62-984452974</t>
        </is>
      </c>
      <c r="N78" s="189" t="inlineStr">
        <is>
          <t>62-98412-8380</t>
        </is>
      </c>
      <c r="O78" s="189" t="inlineStr">
        <is>
          <t>Não</t>
        </is>
      </c>
      <c r="P78" s="189" t="inlineStr">
        <is>
          <t>1982-08-01</t>
        </is>
      </c>
      <c r="Q78" s="248" t="inlineStr">
        <is>
          <t>Zabulom</t>
        </is>
      </c>
      <c r="R78" s="191" t="inlineStr"/>
    </row>
    <row r="79">
      <c r="A79" s="188" t="n">
        <v>78</v>
      </c>
      <c r="B79" s="189" t="inlineStr">
        <is>
          <t>leonardo pires crispim de sousa</t>
        </is>
      </c>
      <c r="C79" s="188" t="inlineStr">
        <is>
          <t>GG</t>
        </is>
      </c>
      <c r="D79" s="188" t="inlineStr">
        <is>
          <t>M</t>
        </is>
      </c>
      <c r="E79" s="188" t="n">
        <v>95</v>
      </c>
      <c r="F79" s="188" t="n">
        <v>1.72</v>
      </c>
      <c r="G79" s="188" t="n">
        <v>42</v>
      </c>
      <c r="H79" s="189" t="inlineStr">
        <is>
          <t>+55 (62) 99176-0830</t>
        </is>
      </c>
      <c r="I79" s="189" t="inlineStr">
        <is>
          <t>Goiânia</t>
        </is>
      </c>
      <c r="J79" s="189" t="inlineStr">
        <is>
          <t>Não</t>
        </is>
      </c>
      <c r="K79" s="189" t="inlineStr">
        <is>
          <t>Sandra (esposa)</t>
        </is>
      </c>
      <c r="L79" s="189" t="inlineStr">
        <is>
          <t>62 99133-7823</t>
        </is>
      </c>
      <c r="M79" s="189" t="inlineStr">
        <is>
          <t>Gustavo ( amigo )</t>
        </is>
      </c>
      <c r="N79" s="189" t="inlineStr">
        <is>
          <t>62991321718</t>
        </is>
      </c>
      <c r="O79" s="189" t="inlineStr">
        <is>
          <t>Não</t>
        </is>
      </c>
      <c r="P79" s="189" t="inlineStr">
        <is>
          <t>1984-04-11</t>
        </is>
      </c>
      <c r="Q79" s="194" t="inlineStr">
        <is>
          <t>Simeão</t>
        </is>
      </c>
      <c r="R79" s="191" t="inlineStr"/>
    </row>
    <row r="80">
      <c r="A80" s="188" t="n">
        <v>79</v>
      </c>
      <c r="B80" s="189" t="inlineStr">
        <is>
          <t>Ligiane Paula Ribeiro</t>
        </is>
      </c>
      <c r="C80" s="188" t="inlineStr">
        <is>
          <t>G</t>
        </is>
      </c>
      <c r="D80" s="188" t="inlineStr">
        <is>
          <t>F</t>
        </is>
      </c>
      <c r="E80" s="188" t="n">
        <v>79</v>
      </c>
      <c r="F80" s="188" t="n">
        <v>1.68</v>
      </c>
      <c r="G80" s="188" t="n">
        <v>45</v>
      </c>
      <c r="H80" s="189" t="inlineStr">
        <is>
          <t>+55 (62) 99368-8383</t>
        </is>
      </c>
      <c r="I80" s="189" t="inlineStr">
        <is>
          <t>goiania</t>
        </is>
      </c>
      <c r="J80" s="189" t="inlineStr">
        <is>
          <t>não</t>
        </is>
      </c>
      <c r="K80" s="189" t="inlineStr">
        <is>
          <t>Ricardo ( esposo )</t>
        </is>
      </c>
      <c r="L80" s="189" t="inlineStr">
        <is>
          <t>62 994307132</t>
        </is>
      </c>
      <c r="M80" s="189" t="inlineStr">
        <is>
          <t>Sebastião ( pai)</t>
        </is>
      </c>
      <c r="N80" s="189" t="inlineStr">
        <is>
          <t>62 991410233</t>
        </is>
      </c>
      <c r="O80" s="189" t="inlineStr">
        <is>
          <t>A cheiros ( renite alérgica</t>
        </is>
      </c>
      <c r="P80" s="189" t="inlineStr">
        <is>
          <t>1980-10-25</t>
        </is>
      </c>
      <c r="Q80" s="194" t="inlineStr">
        <is>
          <t>Simeão</t>
        </is>
      </c>
      <c r="R80" s="191" t="inlineStr"/>
    </row>
    <row r="81">
      <c r="A81" s="188" t="n">
        <v>80</v>
      </c>
      <c r="B81" s="189" t="inlineStr">
        <is>
          <t>LUARA COUTO BARBOZA</t>
        </is>
      </c>
      <c r="C81" s="188" t="inlineStr">
        <is>
          <t>PP</t>
        </is>
      </c>
      <c r="D81" s="188" t="inlineStr">
        <is>
          <t>F</t>
        </is>
      </c>
      <c r="E81" s="188" t="n">
        <v>48</v>
      </c>
      <c r="F81" s="188" t="n">
        <v>1.48</v>
      </c>
      <c r="G81" s="188" t="n">
        <v>23</v>
      </c>
      <c r="H81" s="189" t="inlineStr">
        <is>
          <t>+55 (62) 99258-6183</t>
        </is>
      </c>
      <c r="I81" s="189" t="inlineStr">
        <is>
          <t>Goiânia</t>
        </is>
      </c>
      <c r="J81" s="189" t="inlineStr">
        <is>
          <t>não</t>
        </is>
      </c>
      <c r="K81" s="189" t="inlineStr">
        <is>
          <t>luane irmã</t>
        </is>
      </c>
      <c r="L81" s="189" t="inlineStr">
        <is>
          <t>62996330294</t>
        </is>
      </c>
      <c r="M81" s="189" t="inlineStr">
        <is>
          <t>Luciene mãe</t>
        </is>
      </c>
      <c r="N81" s="189" t="inlineStr">
        <is>
          <t>62 99934-7939</t>
        </is>
      </c>
      <c r="O81" s="189" t="inlineStr">
        <is>
          <t>rinite alérgica, alergia a cachorro e gato</t>
        </is>
      </c>
      <c r="P81" s="189" t="inlineStr">
        <is>
          <t>2002-09-19</t>
        </is>
      </c>
      <c r="Q81" s="192" t="inlineStr">
        <is>
          <t>Rubem</t>
        </is>
      </c>
      <c r="R81" s="191" t="inlineStr"/>
    </row>
    <row r="82">
      <c r="A82" s="188" t="n">
        <v>81</v>
      </c>
      <c r="B82" s="189" t="inlineStr">
        <is>
          <t>Lucas Alves Rodrigues</t>
        </is>
      </c>
      <c r="C82" s="188" t="inlineStr">
        <is>
          <t>M</t>
        </is>
      </c>
      <c r="D82" s="188" t="inlineStr">
        <is>
          <t>M</t>
        </is>
      </c>
      <c r="E82" s="188" t="n">
        <v>76</v>
      </c>
      <c r="F82" s="188" t="n">
        <v>1.64</v>
      </c>
      <c r="G82" s="188" t="n">
        <v>33</v>
      </c>
      <c r="H82" s="189" t="inlineStr">
        <is>
          <t>+55 (62) 99303-0310</t>
        </is>
      </c>
      <c r="I82" s="189" t="inlineStr">
        <is>
          <t>Senador Canedo</t>
        </is>
      </c>
      <c r="J82" s="189" t="inlineStr">
        <is>
          <t>sim. Larisse da Conceição Avis</t>
        </is>
      </c>
      <c r="K82" s="189" t="inlineStr">
        <is>
          <t>Renata</t>
        </is>
      </c>
      <c r="L82" s="189" t="inlineStr">
        <is>
          <t>62984529590</t>
        </is>
      </c>
      <c r="M82" s="189" t="inlineStr">
        <is>
          <t>Moeme</t>
        </is>
      </c>
      <c r="N82" s="189" t="inlineStr">
        <is>
          <t>6298420-7483</t>
        </is>
      </c>
      <c r="O82" s="189" t="inlineStr">
        <is>
          <t>não</t>
        </is>
      </c>
      <c r="P82" s="189" t="inlineStr">
        <is>
          <t>1992-06-14</t>
        </is>
      </c>
      <c r="Q82" s="198" t="inlineStr">
        <is>
          <t>Gad</t>
        </is>
      </c>
      <c r="R82" s="191" t="inlineStr"/>
    </row>
    <row r="83">
      <c r="A83" s="188" t="n">
        <v>82</v>
      </c>
      <c r="B83" s="189" t="inlineStr">
        <is>
          <t>Luciana Costa de Oliveira Soares</t>
        </is>
      </c>
      <c r="C83" s="188" t="inlineStr">
        <is>
          <t>G</t>
        </is>
      </c>
      <c r="D83" s="188" t="inlineStr">
        <is>
          <t>F</t>
        </is>
      </c>
      <c r="E83" s="188" t="n">
        <v>82</v>
      </c>
      <c r="F83" s="188" t="n">
        <v>1.57</v>
      </c>
      <c r="G83" s="188" t="n">
        <v>44</v>
      </c>
      <c r="H83" s="189" t="inlineStr">
        <is>
          <t>+55 (62) 99942-2008</t>
        </is>
      </c>
      <c r="I83" s="189" t="inlineStr">
        <is>
          <t>Goiânia</t>
        </is>
      </c>
      <c r="J83" s="189" t="inlineStr">
        <is>
          <t>sim. meu esposo Cirilo de Jesus Soares</t>
        </is>
      </c>
      <c r="K83" s="189" t="inlineStr">
        <is>
          <t>Renzo Costa</t>
        </is>
      </c>
      <c r="L83" s="189" t="inlineStr">
        <is>
          <t>62 99321-3191</t>
        </is>
      </c>
      <c r="M83" s="189" t="inlineStr">
        <is>
          <t>Thiago Costa</t>
        </is>
      </c>
      <c r="N83" s="189" t="inlineStr">
        <is>
          <t>6298586-2688</t>
        </is>
      </c>
      <c r="O83" s="189" t="inlineStr">
        <is>
          <t>diporona e derivados de timerosal</t>
        </is>
      </c>
      <c r="P83" s="189" t="inlineStr">
        <is>
          <t>1981-09-19</t>
        </is>
      </c>
      <c r="Q83" s="190" t="inlineStr">
        <is>
          <t>Benjamim</t>
        </is>
      </c>
      <c r="R83" s="191" t="n">
        <v>26</v>
      </c>
    </row>
    <row r="84">
      <c r="A84" s="188" t="n">
        <v>83</v>
      </c>
      <c r="B84" s="189" t="inlineStr">
        <is>
          <t>luciano costa</t>
        </is>
      </c>
      <c r="C84" s="188" t="inlineStr">
        <is>
          <t>G</t>
        </is>
      </c>
      <c r="D84" s="188" t="inlineStr">
        <is>
          <t>M</t>
        </is>
      </c>
      <c r="E84" s="188" t="n">
        <v>90</v>
      </c>
      <c r="F84" s="188" t="n">
        <v>1.8</v>
      </c>
      <c r="G84" s="188" t="n">
        <v>49</v>
      </c>
      <c r="H84" s="189" t="inlineStr">
        <is>
          <t>+55 (62) 99407-9898</t>
        </is>
      </c>
      <c r="I84" s="189" t="inlineStr">
        <is>
          <t>goiania</t>
        </is>
      </c>
      <c r="J84" s="189" t="inlineStr">
        <is>
          <t>nao</t>
        </is>
      </c>
      <c r="K84" s="189" t="inlineStr">
        <is>
          <t>vanessa</t>
        </is>
      </c>
      <c r="L84" s="189" t="inlineStr">
        <is>
          <t>(62 995346652)</t>
        </is>
      </c>
      <c r="M84" s="189" t="inlineStr">
        <is>
          <t>victor</t>
        </is>
      </c>
      <c r="N84" s="189" t="inlineStr">
        <is>
          <t>62 981155050</t>
        </is>
      </c>
      <c r="O84" s="189" t="inlineStr">
        <is>
          <t>nao</t>
        </is>
      </c>
      <c r="P84" s="189" t="inlineStr">
        <is>
          <t>1976-11-27</t>
        </is>
      </c>
      <c r="Q84" s="199" t="inlineStr">
        <is>
          <t>Issacar</t>
        </is>
      </c>
      <c r="R84" s="191" t="inlineStr"/>
    </row>
    <row r="85">
      <c r="A85" s="188" t="n">
        <v>84</v>
      </c>
      <c r="B85" s="189" t="inlineStr">
        <is>
          <t>LUCIANO FRANCISCO DE OLIVEIRA</t>
        </is>
      </c>
      <c r="C85" s="188" t="inlineStr">
        <is>
          <t>P</t>
        </is>
      </c>
      <c r="D85" s="188" t="inlineStr">
        <is>
          <t>M</t>
        </is>
      </c>
      <c r="E85" s="188" t="n">
        <v>81</v>
      </c>
      <c r="F85" s="188" t="n">
        <v>1.7</v>
      </c>
      <c r="G85" s="188" t="n">
        <v>48</v>
      </c>
      <c r="H85" s="189" t="inlineStr">
        <is>
          <t>+55 (62) 99181-2068</t>
        </is>
      </c>
      <c r="I85" s="189" t="inlineStr">
        <is>
          <t>Goiânia</t>
        </is>
      </c>
      <c r="J85" s="189" t="inlineStr">
        <is>
          <t>não</t>
        </is>
      </c>
      <c r="K85" s="189" t="inlineStr">
        <is>
          <t>Lionora - irmã</t>
        </is>
      </c>
      <c r="L85" s="189" t="inlineStr">
        <is>
          <t>(62) 9.9227-4707</t>
        </is>
      </c>
      <c r="M85" s="189" t="inlineStr">
        <is>
          <t>Ailton - cinhado</t>
        </is>
      </c>
      <c r="N85" s="189" t="inlineStr">
        <is>
          <t>0146299229-2348</t>
        </is>
      </c>
      <c r="O85" s="189" t="inlineStr">
        <is>
          <t>não</t>
        </is>
      </c>
      <c r="P85" s="189" t="inlineStr">
        <is>
          <t>1977-06-02</t>
        </is>
      </c>
      <c r="Q85" s="193" t="inlineStr">
        <is>
          <t>Levi</t>
        </is>
      </c>
      <c r="R85" s="191" t="inlineStr"/>
    </row>
    <row r="86">
      <c r="A86" s="188" t="n">
        <v>85</v>
      </c>
      <c r="B86" s="189" t="inlineStr">
        <is>
          <t>Ludmilla Batista da Silva</t>
        </is>
      </c>
      <c r="C86" s="188" t="inlineStr">
        <is>
          <t>M</t>
        </is>
      </c>
      <c r="D86" s="188" t="inlineStr">
        <is>
          <t>F</t>
        </is>
      </c>
      <c r="E86" s="188" t="n">
        <v>62</v>
      </c>
      <c r="F86" s="188" t="n">
        <v>1.63</v>
      </c>
      <c r="G86" s="188" t="n">
        <v>33</v>
      </c>
      <c r="H86" s="189" t="inlineStr">
        <is>
          <t>+55 (62) 99854-1307</t>
        </is>
      </c>
      <c r="I86" s="189" t="inlineStr">
        <is>
          <t>Silvania</t>
        </is>
      </c>
      <c r="J86" s="189" t="inlineStr">
        <is>
          <t>Nao</t>
        </is>
      </c>
      <c r="K86" s="189" t="inlineStr">
        <is>
          <t>Erlane</t>
        </is>
      </c>
      <c r="L86" s="189" t="inlineStr">
        <is>
          <t>62999140426</t>
        </is>
      </c>
      <c r="M86" s="189" t="inlineStr">
        <is>
          <t>Kamylla</t>
        </is>
      </c>
      <c r="N86" s="189" t="inlineStr">
        <is>
          <t>62998742254</t>
        </is>
      </c>
      <c r="O86" s="189" t="inlineStr">
        <is>
          <t>Nao</t>
        </is>
      </c>
      <c r="P86" s="189" t="inlineStr">
        <is>
          <t>1992-07-13</t>
        </is>
      </c>
      <c r="Q86" s="193" t="inlineStr">
        <is>
          <t>Levi</t>
        </is>
      </c>
      <c r="R86" s="191" t="inlineStr"/>
    </row>
    <row r="87">
      <c r="A87" s="188" t="n">
        <v>86</v>
      </c>
      <c r="B87" s="189" t="inlineStr">
        <is>
          <t>Luigi Gabriel Batista do Carmo</t>
        </is>
      </c>
      <c r="C87" s="188" t="inlineStr">
        <is>
          <t>G</t>
        </is>
      </c>
      <c r="D87" s="188" t="inlineStr">
        <is>
          <t>M</t>
        </is>
      </c>
      <c r="E87" s="188" t="n">
        <v>93</v>
      </c>
      <c r="F87" s="188" t="n">
        <v>1.87</v>
      </c>
      <c r="G87" s="188" t="n">
        <v>27</v>
      </c>
      <c r="H87" s="189" t="inlineStr">
        <is>
          <t>(61) 99630-4055</t>
        </is>
      </c>
      <c r="I87" s="189" t="inlineStr">
        <is>
          <t>Goiania</t>
        </is>
      </c>
      <c r="J87" s="189" t="inlineStr">
        <is>
          <t>Nao</t>
        </is>
      </c>
      <c r="K87" s="189" t="inlineStr">
        <is>
          <t>Rebeca natalia</t>
        </is>
      </c>
      <c r="L87" s="189" t="inlineStr">
        <is>
          <t>62985073180</t>
        </is>
      </c>
      <c r="M87" s="189" t="inlineStr">
        <is>
          <t>Ednalva</t>
        </is>
      </c>
      <c r="N87" s="189" t="inlineStr">
        <is>
          <t>61981993244</t>
        </is>
      </c>
      <c r="O87" s="189" t="inlineStr">
        <is>
          <t>Nao</t>
        </is>
      </c>
      <c r="P87" s="189" t="inlineStr">
        <is>
          <t>1998-11-07</t>
        </is>
      </c>
      <c r="Q87" s="192" t="inlineStr">
        <is>
          <t>Rubem</t>
        </is>
      </c>
      <c r="R87" s="191" t="inlineStr"/>
    </row>
    <row r="88">
      <c r="A88" s="188" t="n">
        <v>87</v>
      </c>
      <c r="B88" s="189" t="inlineStr">
        <is>
          <t>MARIZON MARTINS BARBOSA</t>
        </is>
      </c>
      <c r="C88" s="188" t="inlineStr">
        <is>
          <t>GG</t>
        </is>
      </c>
      <c r="D88" s="188" t="inlineStr">
        <is>
          <t>M</t>
        </is>
      </c>
      <c r="E88" s="188" t="n">
        <v>90</v>
      </c>
      <c r="F88" s="188" t="n">
        <v>1.68</v>
      </c>
      <c r="G88" s="188" t="n">
        <v>46</v>
      </c>
      <c r="H88" s="189" t="inlineStr">
        <is>
          <t>+55 (64) 99605-2872</t>
        </is>
      </c>
      <c r="I88" s="189" t="inlineStr">
        <is>
          <t>Edéia</t>
        </is>
      </c>
      <c r="J88" s="189" t="inlineStr"/>
      <c r="K88" s="189" t="inlineStr">
        <is>
          <t>Maria Cláudia</t>
        </is>
      </c>
      <c r="L88" s="189" t="inlineStr">
        <is>
          <t>64996071378</t>
        </is>
      </c>
      <c r="M88" s="189" t="inlineStr">
        <is>
          <t>Jerusa</t>
        </is>
      </c>
      <c r="N88" s="189" t="inlineStr">
        <is>
          <t>64999581109</t>
        </is>
      </c>
      <c r="O88" s="189" t="inlineStr">
        <is>
          <t>Picada marimbondo</t>
        </is>
      </c>
      <c r="P88" s="189" t="inlineStr">
        <is>
          <t>1979-07-02</t>
        </is>
      </c>
      <c r="Q88" s="248" t="inlineStr">
        <is>
          <t>Zabulom</t>
        </is>
      </c>
      <c r="R88" s="191" t="inlineStr"/>
    </row>
    <row r="89">
      <c r="A89" s="188" t="n">
        <v>88</v>
      </c>
      <c r="B89" s="189" t="inlineStr">
        <is>
          <t>Luzivânia Vieira Jardim Alencar</t>
        </is>
      </c>
      <c r="C89" s="188" t="inlineStr">
        <is>
          <t>GG</t>
        </is>
      </c>
      <c r="D89" s="188" t="inlineStr">
        <is>
          <t>F</t>
        </is>
      </c>
      <c r="E89" s="188" t="n">
        <v>90</v>
      </c>
      <c r="F89" s="188" t="n">
        <v>1.63</v>
      </c>
      <c r="G89" s="188" t="n">
        <v>53</v>
      </c>
      <c r="H89" s="189" t="inlineStr">
        <is>
          <t>+55 (62) 99255-2374</t>
        </is>
      </c>
      <c r="I89" s="189" t="inlineStr">
        <is>
          <t>Goiânia</t>
        </is>
      </c>
      <c r="J89" s="189" t="inlineStr">
        <is>
          <t>Não</t>
        </is>
      </c>
      <c r="K89" s="189" t="inlineStr">
        <is>
          <t>Antonio Araujo</t>
        </is>
      </c>
      <c r="L89" s="189" t="inlineStr">
        <is>
          <t>62 986490815</t>
        </is>
      </c>
      <c r="M89" s="189" t="inlineStr">
        <is>
          <t>Cleusa</t>
        </is>
      </c>
      <c r="N89" s="189" t="inlineStr">
        <is>
          <t>62 985643143</t>
        </is>
      </c>
      <c r="O89" s="189" t="inlineStr">
        <is>
          <t>Não</t>
        </is>
      </c>
      <c r="P89" s="189" t="inlineStr">
        <is>
          <t>1972-12-13</t>
        </is>
      </c>
      <c r="Q89" s="193" t="inlineStr">
        <is>
          <t>Levi</t>
        </is>
      </c>
      <c r="R89" s="191" t="inlineStr"/>
    </row>
    <row r="90">
      <c r="A90" s="188" t="n">
        <v>89</v>
      </c>
      <c r="B90" s="189" t="inlineStr">
        <is>
          <t>MARCELO PORTO CORTEZ BITTAR</t>
        </is>
      </c>
      <c r="C90" s="188" t="inlineStr">
        <is>
          <t>M</t>
        </is>
      </c>
      <c r="D90" s="188" t="inlineStr">
        <is>
          <t>M</t>
        </is>
      </c>
      <c r="E90" s="188" t="n">
        <v>70</v>
      </c>
      <c r="F90" s="188" t="n">
        <v>1.71</v>
      </c>
      <c r="G90" s="188" t="n">
        <v>51</v>
      </c>
      <c r="H90" s="189" t="inlineStr">
        <is>
          <t>+55 (62) 99927-1473</t>
        </is>
      </c>
      <c r="I90" s="189" t="inlineStr">
        <is>
          <t>Goiânia</t>
        </is>
      </c>
      <c r="J90" s="189" t="inlineStr">
        <is>
          <t>não</t>
        </is>
      </c>
      <c r="K90" s="189" t="inlineStr">
        <is>
          <t>igor</t>
        </is>
      </c>
      <c r="L90" s="189" t="inlineStr">
        <is>
          <t>62 99171 8768</t>
        </is>
      </c>
      <c r="M90" s="189" t="inlineStr">
        <is>
          <t>wanessa</t>
        </is>
      </c>
      <c r="N90" s="189" t="inlineStr">
        <is>
          <t>62 991743636</t>
        </is>
      </c>
      <c r="O90" s="189" t="inlineStr">
        <is>
          <t>não</t>
        </is>
      </c>
      <c r="P90" s="189" t="inlineStr">
        <is>
          <t>1974-08-11</t>
        </is>
      </c>
      <c r="Q90" s="248" t="inlineStr">
        <is>
          <t>Zabulom</t>
        </is>
      </c>
      <c r="R90" s="191" t="inlineStr"/>
    </row>
    <row r="91">
      <c r="A91" s="188" t="n">
        <v>90</v>
      </c>
      <c r="B91" s="189" t="inlineStr">
        <is>
          <t>MARCILEI PEREIRA FARIA</t>
        </is>
      </c>
      <c r="C91" s="188" t="inlineStr">
        <is>
          <t>G</t>
        </is>
      </c>
      <c r="D91" s="188" t="inlineStr">
        <is>
          <t>M</t>
        </is>
      </c>
      <c r="E91" s="188" t="n">
        <v>87</v>
      </c>
      <c r="F91" s="188" t="n">
        <v>1.8</v>
      </c>
      <c r="G91" s="188" t="n">
        <v>48</v>
      </c>
      <c r="H91" s="189" t="inlineStr">
        <is>
          <t>+55 (62) 99700-3388</t>
        </is>
      </c>
      <c r="I91" s="189" t="inlineStr">
        <is>
          <t>GOIÂNIA</t>
        </is>
      </c>
      <c r="J91" s="189" t="inlineStr">
        <is>
          <t>NÃO</t>
        </is>
      </c>
      <c r="K91" s="189" t="inlineStr">
        <is>
          <t>DULCE - ESPOSA</t>
        </is>
      </c>
      <c r="L91" s="189" t="inlineStr">
        <is>
          <t>62 99820-0603</t>
        </is>
      </c>
      <c r="M91" s="189" t="inlineStr">
        <is>
          <t>RAFAEL - FILHO</t>
        </is>
      </c>
      <c r="N91" s="189" t="inlineStr">
        <is>
          <t>62 99941-6085</t>
        </is>
      </c>
      <c r="O91" s="189" t="inlineStr">
        <is>
          <t>NÃO</t>
        </is>
      </c>
      <c r="P91" s="189" t="inlineStr">
        <is>
          <t>1977-06-03</t>
        </is>
      </c>
      <c r="Q91" s="199" t="inlineStr">
        <is>
          <t>Issacar</t>
        </is>
      </c>
      <c r="R91" s="191" t="inlineStr"/>
    </row>
    <row r="92">
      <c r="A92" s="188" t="n">
        <v>91</v>
      </c>
      <c r="B92" s="189" t="inlineStr">
        <is>
          <t>Marcos Aurélio Barreto Savio</t>
        </is>
      </c>
      <c r="C92" s="188" t="inlineStr">
        <is>
          <t>G</t>
        </is>
      </c>
      <c r="D92" s="188" t="inlineStr">
        <is>
          <t>M</t>
        </is>
      </c>
      <c r="E92" s="188" t="n">
        <v>86</v>
      </c>
      <c r="F92" s="188" t="inlineStr"/>
      <c r="G92" s="188" t="n">
        <v>30</v>
      </c>
      <c r="H92" s="189" t="inlineStr">
        <is>
          <t>+55 (62) 98305-5595</t>
        </is>
      </c>
      <c r="I92" s="189" t="inlineStr">
        <is>
          <t>Goiania</t>
        </is>
      </c>
      <c r="J92" s="189" t="inlineStr">
        <is>
          <t>Vitória Alves Sardinha - esposa</t>
        </is>
      </c>
      <c r="K92" s="189" t="inlineStr">
        <is>
          <t>José Antonio -cunhado</t>
        </is>
      </c>
      <c r="L92" s="189" t="inlineStr">
        <is>
          <t>+55 62 98128-7383</t>
        </is>
      </c>
      <c r="M92" s="189" t="inlineStr">
        <is>
          <t>Jair -sogro</t>
        </is>
      </c>
      <c r="N92" s="189" t="inlineStr">
        <is>
          <t>+55 62 98249-4217</t>
        </is>
      </c>
      <c r="O92" s="189" t="inlineStr">
        <is>
          <t>Não</t>
        </is>
      </c>
      <c r="P92" s="189" t="inlineStr">
        <is>
          <t>1996-03-17</t>
        </is>
      </c>
      <c r="Q92" s="196" t="inlineStr">
        <is>
          <t>EFRAIM</t>
        </is>
      </c>
      <c r="R92" s="191" t="n">
        <v>137</v>
      </c>
    </row>
    <row r="93">
      <c r="A93" s="188" t="n">
        <v>92</v>
      </c>
      <c r="B93" s="189" t="inlineStr">
        <is>
          <t>Marcos Felipe de Freitas Martins</t>
        </is>
      </c>
      <c r="C93" s="188" t="inlineStr">
        <is>
          <t>M</t>
        </is>
      </c>
      <c r="D93" s="188" t="inlineStr">
        <is>
          <t>M</t>
        </is>
      </c>
      <c r="E93" s="188" t="n">
        <v>78</v>
      </c>
      <c r="F93" s="188" t="n">
        <v>1.7</v>
      </c>
      <c r="G93" s="188" t="n">
        <v>29</v>
      </c>
      <c r="H93" s="189" t="inlineStr">
        <is>
          <t>+55 (62) 98279-5732</t>
        </is>
      </c>
      <c r="I93" s="189" t="inlineStr">
        <is>
          <t>Aparecida de Goiania</t>
        </is>
      </c>
      <c r="J93" s="189" t="inlineStr">
        <is>
          <t>Sim Ariane Dias</t>
        </is>
      </c>
      <c r="K93" s="189" t="inlineStr">
        <is>
          <t>Alessandro</t>
        </is>
      </c>
      <c r="L93" s="189" t="inlineStr">
        <is>
          <t>62 9 85999216</t>
        </is>
      </c>
      <c r="M93" s="189" t="inlineStr">
        <is>
          <t>Elisangela</t>
        </is>
      </c>
      <c r="N93" s="189" t="inlineStr">
        <is>
          <t>62 9 84925413</t>
        </is>
      </c>
      <c r="O93" s="189" t="inlineStr">
        <is>
          <t>Nao</t>
        </is>
      </c>
      <c r="P93" s="189" t="inlineStr">
        <is>
          <t>1997-03-27</t>
        </is>
      </c>
      <c r="Q93" s="196" t="inlineStr">
        <is>
          <t>EFRAIM</t>
        </is>
      </c>
      <c r="R93" s="191" t="n">
        <v>12</v>
      </c>
    </row>
    <row r="94">
      <c r="A94" s="188" t="n">
        <v>93</v>
      </c>
      <c r="B94" s="189" t="inlineStr">
        <is>
          <t>Marcos Vinícius Batista Ferreira</t>
        </is>
      </c>
      <c r="C94" s="188" t="inlineStr">
        <is>
          <t>P</t>
        </is>
      </c>
      <c r="D94" s="188" t="inlineStr">
        <is>
          <t>M</t>
        </is>
      </c>
      <c r="E94" s="188" t="n">
        <v>60</v>
      </c>
      <c r="F94" s="188" t="n">
        <v>1.65</v>
      </c>
      <c r="G94" s="188" t="n">
        <v>23</v>
      </c>
      <c r="H94" s="189" t="inlineStr">
        <is>
          <t>+55 (62) 99943-5664</t>
        </is>
      </c>
      <c r="I94" s="189" t="inlineStr">
        <is>
          <t>Vianopolis</t>
        </is>
      </c>
      <c r="J94" s="189" t="inlineStr">
        <is>
          <t>Namorada (Rafaela Freitas)</t>
        </is>
      </c>
      <c r="K94" s="189" t="inlineStr">
        <is>
          <t>Mãe (Eslane)</t>
        </is>
      </c>
      <c r="L94" s="189" t="inlineStr">
        <is>
          <t>62 996443871</t>
        </is>
      </c>
      <c r="M94" s="189" t="inlineStr">
        <is>
          <t>Irmã (Rayane)</t>
        </is>
      </c>
      <c r="N94" s="189" t="inlineStr">
        <is>
          <t>62 996379707</t>
        </is>
      </c>
      <c r="O94" s="189" t="inlineStr">
        <is>
          <t>Não</t>
        </is>
      </c>
      <c r="P94" s="189" t="inlineStr">
        <is>
          <t>2002-10-27</t>
        </is>
      </c>
      <c r="Q94" s="192" t="inlineStr">
        <is>
          <t>Rubem</t>
        </is>
      </c>
      <c r="R94" s="191" t="n">
        <v>119</v>
      </c>
    </row>
    <row r="95">
      <c r="A95" s="188" t="n">
        <v>94</v>
      </c>
      <c r="B95" s="189" t="inlineStr">
        <is>
          <t>Marcus Vinicius de Oliveira Rodrigues</t>
        </is>
      </c>
      <c r="C95" s="188" t="inlineStr">
        <is>
          <t>M</t>
        </is>
      </c>
      <c r="D95" s="188" t="inlineStr">
        <is>
          <t>M</t>
        </is>
      </c>
      <c r="E95" s="188" t="n">
        <v>68</v>
      </c>
      <c r="F95" s="188" t="n">
        <v>1.8</v>
      </c>
      <c r="G95" s="188" t="n">
        <v>26</v>
      </c>
      <c r="H95" s="189" t="inlineStr">
        <is>
          <t>+55 (64) 98152-0715</t>
        </is>
      </c>
      <c r="I95" s="189" t="inlineStr">
        <is>
          <t>Goiânia</t>
        </is>
      </c>
      <c r="J95" s="189" t="inlineStr">
        <is>
          <t>não</t>
        </is>
      </c>
      <c r="K95" s="189" t="inlineStr">
        <is>
          <t>Emanuel</t>
        </is>
      </c>
      <c r="L95" s="189" t="inlineStr">
        <is>
          <t>62981504778</t>
        </is>
      </c>
      <c r="M95" s="189" t="inlineStr">
        <is>
          <t>Maria Aparecida</t>
        </is>
      </c>
      <c r="N95" s="189" t="inlineStr">
        <is>
          <t>6492965249</t>
        </is>
      </c>
      <c r="O95" s="189" t="inlineStr">
        <is>
          <t>crustáceos frutos do mar</t>
        </is>
      </c>
      <c r="P95" s="189" t="inlineStr">
        <is>
          <t>1999-07-09</t>
        </is>
      </c>
      <c r="Q95" s="196" t="inlineStr">
        <is>
          <t>EFRAIM</t>
        </is>
      </c>
      <c r="R95" s="191" t="inlineStr"/>
    </row>
    <row r="96">
      <c r="A96" s="188" t="n">
        <v>95</v>
      </c>
      <c r="B96" s="189" t="inlineStr">
        <is>
          <t>Maria Aparecida Fonseca Pereira</t>
        </is>
      </c>
      <c r="C96" s="188" t="inlineStr">
        <is>
          <t>M</t>
        </is>
      </c>
      <c r="D96" s="188" t="inlineStr">
        <is>
          <t>F</t>
        </is>
      </c>
      <c r="E96" s="188" t="n">
        <v>55</v>
      </c>
      <c r="F96" s="188" t="n">
        <v>1.48</v>
      </c>
      <c r="G96" s="188" t="n">
        <v>68</v>
      </c>
      <c r="H96" s="189" t="inlineStr">
        <is>
          <t>+55 (62) 99676-2111</t>
        </is>
      </c>
      <c r="I96" s="189" t="inlineStr">
        <is>
          <t>Goiânia-GO</t>
        </is>
      </c>
      <c r="J96" s="189" t="inlineStr">
        <is>
          <t>não que eu saiba</t>
        </is>
      </c>
      <c r="K96" s="189" t="inlineStr">
        <is>
          <t>Rosival -esposo</t>
        </is>
      </c>
      <c r="L96" s="189" t="inlineStr">
        <is>
          <t>62 9930-0506</t>
        </is>
      </c>
      <c r="M96" s="189" t="inlineStr">
        <is>
          <t>Maise - filha</t>
        </is>
      </c>
      <c r="N96" s="189" t="inlineStr">
        <is>
          <t>62 98229-0600</t>
        </is>
      </c>
      <c r="O96" s="189" t="inlineStr">
        <is>
          <t>Não</t>
        </is>
      </c>
      <c r="P96" s="189" t="inlineStr">
        <is>
          <t>1957-11-21</t>
        </is>
      </c>
      <c r="Q96" s="196" t="inlineStr">
        <is>
          <t>EFRAIM</t>
        </is>
      </c>
      <c r="R96" s="191" t="inlineStr"/>
    </row>
    <row r="97">
      <c r="A97" s="188" t="n">
        <v>96</v>
      </c>
      <c r="B97" s="189" t="inlineStr">
        <is>
          <t>Maria Clara Silva Scarpa</t>
        </is>
      </c>
      <c r="C97" s="188" t="inlineStr">
        <is>
          <t>M</t>
        </is>
      </c>
      <c r="D97" s="188" t="inlineStr">
        <is>
          <t>F</t>
        </is>
      </c>
      <c r="E97" s="188" t="n">
        <v>72</v>
      </c>
      <c r="F97" s="188" t="n">
        <v>1.67</v>
      </c>
      <c r="G97" s="188" t="n">
        <v>27</v>
      </c>
      <c r="H97" s="189" t="inlineStr">
        <is>
          <t>+55 (62) 98183-0324</t>
        </is>
      </c>
      <c r="I97" s="189" t="inlineStr">
        <is>
          <t>Goiania</t>
        </is>
      </c>
      <c r="J97" s="189" t="inlineStr">
        <is>
          <t>Cunhado - Thiago Machado dos Santos</t>
        </is>
      </c>
      <c r="K97" s="189" t="inlineStr">
        <is>
          <t>Leila Aparecida da Silva</t>
        </is>
      </c>
      <c r="L97" s="189" t="inlineStr">
        <is>
          <t>+55 62 98271-0054</t>
        </is>
      </c>
      <c r="M97" s="189" t="inlineStr">
        <is>
          <t>Roberto Carlos Scaroa</t>
        </is>
      </c>
      <c r="N97" s="189" t="inlineStr">
        <is>
          <t>+55 62 99958-0084</t>
        </is>
      </c>
      <c r="O97" s="189" t="inlineStr">
        <is>
          <t>Não</t>
        </is>
      </c>
      <c r="P97" s="189" t="inlineStr">
        <is>
          <t>1998-12-17</t>
        </is>
      </c>
      <c r="Q97" s="196" t="inlineStr">
        <is>
          <t>EFRAIM</t>
        </is>
      </c>
      <c r="R97" s="191" t="inlineStr"/>
    </row>
    <row r="98">
      <c r="A98" s="188" t="n">
        <v>97</v>
      </c>
      <c r="B98" s="189" t="inlineStr">
        <is>
          <t>MARIA DE LOURDES PEREIRA SARDINHA RODRIGUES</t>
        </is>
      </c>
      <c r="C98" s="188" t="inlineStr">
        <is>
          <t>M</t>
        </is>
      </c>
      <c r="D98" s="188" t="inlineStr">
        <is>
          <t>F</t>
        </is>
      </c>
      <c r="E98" s="188" t="n">
        <v>65</v>
      </c>
      <c r="F98" s="188" t="n">
        <v>1.66</v>
      </c>
      <c r="G98" s="188" t="n">
        <v>54</v>
      </c>
      <c r="H98" s="189" t="inlineStr">
        <is>
          <t>+55 (62) 99635-8839</t>
        </is>
      </c>
      <c r="I98" s="189" t="inlineStr">
        <is>
          <t>GOIANIA</t>
        </is>
      </c>
      <c r="J98" s="189" t="inlineStr">
        <is>
          <t>não</t>
        </is>
      </c>
      <c r="K98" s="189" t="inlineStr">
        <is>
          <t>fernando Rodrigues</t>
        </is>
      </c>
      <c r="L98" s="189" t="inlineStr">
        <is>
          <t>62996358839</t>
        </is>
      </c>
      <c r="M98" s="189" t="inlineStr">
        <is>
          <t>brenner Rodrigues</t>
        </is>
      </c>
      <c r="N98" s="189" t="inlineStr">
        <is>
          <t>62996814290</t>
        </is>
      </c>
      <c r="O98" s="189" t="inlineStr">
        <is>
          <t>insetos</t>
        </is>
      </c>
      <c r="P98" s="189" t="inlineStr">
        <is>
          <t>1971-11-24</t>
        </is>
      </c>
      <c r="Q98" s="199" t="inlineStr">
        <is>
          <t>Issacar</t>
        </is>
      </c>
      <c r="R98" s="191" t="inlineStr"/>
    </row>
    <row r="99">
      <c r="A99" s="188" t="n">
        <v>98</v>
      </c>
      <c r="B99" s="189" t="inlineStr">
        <is>
          <t>Maria Eduarda Barroso dos Santos</t>
        </is>
      </c>
      <c r="C99" s="188" t="inlineStr">
        <is>
          <t>P</t>
        </is>
      </c>
      <c r="D99" s="188" t="inlineStr">
        <is>
          <t>F</t>
        </is>
      </c>
      <c r="E99" s="188" t="n">
        <v>62</v>
      </c>
      <c r="F99" s="188" t="n">
        <v>1.67</v>
      </c>
      <c r="G99" s="188" t="n">
        <v>21</v>
      </c>
      <c r="H99" s="189" t="inlineStr">
        <is>
          <t>+55 (62) 99666-0772</t>
        </is>
      </c>
      <c r="I99" s="189" t="inlineStr">
        <is>
          <t>Aparecida de Goiânia</t>
        </is>
      </c>
      <c r="J99" s="189" t="inlineStr">
        <is>
          <t>Nao</t>
        </is>
      </c>
      <c r="K99" s="189" t="inlineStr">
        <is>
          <t>Ana carla</t>
        </is>
      </c>
      <c r="L99" s="189" t="inlineStr">
        <is>
          <t>62999235583</t>
        </is>
      </c>
      <c r="M99" s="189" t="inlineStr">
        <is>
          <t>Pedro Henrique</t>
        </is>
      </c>
      <c r="N99" s="189" t="inlineStr">
        <is>
          <t>62981129126</t>
        </is>
      </c>
      <c r="O99" s="189" t="inlineStr">
        <is>
          <t>Nao</t>
        </is>
      </c>
      <c r="P99" s="189" t="inlineStr">
        <is>
          <t>2004-06-27</t>
        </is>
      </c>
      <c r="Q99" s="199" t="inlineStr">
        <is>
          <t>Issacar</t>
        </is>
      </c>
      <c r="R99" s="191" t="inlineStr"/>
    </row>
    <row r="100">
      <c r="A100" s="188" t="n">
        <v>99</v>
      </c>
      <c r="B100" s="189" t="inlineStr">
        <is>
          <t>Maria Eduarda Resende Santos</t>
        </is>
      </c>
      <c r="C100" s="188" t="inlineStr">
        <is>
          <t>P</t>
        </is>
      </c>
      <c r="D100" s="188" t="inlineStr">
        <is>
          <t>F</t>
        </is>
      </c>
      <c r="E100" s="188" t="n">
        <v>53</v>
      </c>
      <c r="F100" s="188" t="n">
        <v>1.6</v>
      </c>
      <c r="G100" s="188" t="n">
        <v>22</v>
      </c>
      <c r="H100" s="189" t="inlineStr">
        <is>
          <t>+55 (62) 99958-6468</t>
        </is>
      </c>
      <c r="I100" s="189" t="inlineStr">
        <is>
          <t>Goiânia</t>
        </is>
      </c>
      <c r="J100" s="189" t="inlineStr">
        <is>
          <t>Não</t>
        </is>
      </c>
      <c r="K100" s="189" t="inlineStr">
        <is>
          <t>Thaise Oliveira Resende (mãe)</t>
        </is>
      </c>
      <c r="L100" s="189" t="inlineStr">
        <is>
          <t>(62)981231790</t>
        </is>
      </c>
      <c r="M100" s="189" t="inlineStr">
        <is>
          <t>Eduardo Vieira dos Santos (pai)</t>
        </is>
      </c>
      <c r="N100" s="189" t="inlineStr">
        <is>
          <t>(62)981477436</t>
        </is>
      </c>
      <c r="O100" s="189" t="inlineStr">
        <is>
          <t>Não</t>
        </is>
      </c>
      <c r="P100" s="189" t="inlineStr">
        <is>
          <t>2004-01-31</t>
        </is>
      </c>
      <c r="Q100" s="193" t="inlineStr">
        <is>
          <t>Levi</t>
        </is>
      </c>
      <c r="R100" s="191" t="inlineStr"/>
    </row>
    <row r="101">
      <c r="A101" s="188" t="n">
        <v>100</v>
      </c>
      <c r="B101" s="189" t="inlineStr">
        <is>
          <t>Maria Ivone Pinto Brandão Silva</t>
        </is>
      </c>
      <c r="C101" s="188" t="inlineStr">
        <is>
          <t>G</t>
        </is>
      </c>
      <c r="D101" s="188" t="inlineStr">
        <is>
          <t>F</t>
        </is>
      </c>
      <c r="E101" s="188" t="n">
        <v>75</v>
      </c>
      <c r="F101" s="188" t="n">
        <v>1.59</v>
      </c>
      <c r="G101" s="188" t="n">
        <v>62</v>
      </c>
      <c r="H101" s="189" t="inlineStr">
        <is>
          <t>+55 (62) 99103-4522</t>
        </is>
      </c>
      <c r="I101" s="189" t="inlineStr">
        <is>
          <t>Goiânia</t>
        </is>
      </c>
      <c r="J101" s="189" t="inlineStr">
        <is>
          <t>sim. esposo: Aires Silva</t>
        </is>
      </c>
      <c r="K101" s="189" t="inlineStr">
        <is>
          <t>Ana Paula</t>
        </is>
      </c>
      <c r="L101" s="189" t="inlineStr">
        <is>
          <t>(11)93321-1010</t>
        </is>
      </c>
      <c r="M101" s="189" t="inlineStr">
        <is>
          <t>Ana Gabriela</t>
        </is>
      </c>
      <c r="N101" s="189" t="inlineStr">
        <is>
          <t>(62) 992747297</t>
        </is>
      </c>
      <c r="O101" s="189" t="inlineStr">
        <is>
          <t>Frutos do Mar</t>
        </is>
      </c>
      <c r="P101" s="189" t="inlineStr">
        <is>
          <t>1963-09-14</t>
        </is>
      </c>
      <c r="Q101" s="248" t="inlineStr">
        <is>
          <t>Zabulom</t>
        </is>
      </c>
      <c r="R101" s="191" t="n">
        <v>3</v>
      </c>
    </row>
    <row r="102">
      <c r="A102" s="188" t="n">
        <v>101</v>
      </c>
      <c r="B102" s="189" t="inlineStr">
        <is>
          <t>mariana linhares</t>
        </is>
      </c>
      <c r="C102" s="188" t="inlineStr">
        <is>
          <t>P</t>
        </is>
      </c>
      <c r="D102" s="188" t="inlineStr">
        <is>
          <t>F</t>
        </is>
      </c>
      <c r="E102" s="188" t="n">
        <v>60</v>
      </c>
      <c r="F102" s="188" t="n">
        <v>1.68</v>
      </c>
      <c r="G102" s="188" t="n">
        <v>34</v>
      </c>
      <c r="H102" s="189" t="inlineStr">
        <is>
          <t>+55 (62) 99433-5080</t>
        </is>
      </c>
      <c r="I102" s="189" t="inlineStr">
        <is>
          <t>Goiânia</t>
        </is>
      </c>
      <c r="J102" s="189" t="inlineStr">
        <is>
          <t>Pedro</t>
        </is>
      </c>
      <c r="K102" s="189" t="inlineStr">
        <is>
          <t>Isabela</t>
        </is>
      </c>
      <c r="L102" s="189" t="inlineStr">
        <is>
          <t>62982543028</t>
        </is>
      </c>
      <c r="M102" s="189" t="inlineStr">
        <is>
          <t>Karol</t>
        </is>
      </c>
      <c r="N102" s="189" t="inlineStr">
        <is>
          <t>62981199154</t>
        </is>
      </c>
      <c r="O102" s="189" t="inlineStr">
        <is>
          <t>sou intolerante a glúten/lactose</t>
        </is>
      </c>
      <c r="P102" s="189" t="inlineStr">
        <is>
          <t>1992-03-23</t>
        </is>
      </c>
      <c r="Q102" s="194" t="inlineStr">
        <is>
          <t>Simeão</t>
        </is>
      </c>
      <c r="R102" s="191" t="inlineStr"/>
    </row>
    <row r="103">
      <c r="A103" s="188" t="n">
        <v>102</v>
      </c>
      <c r="B103" s="189" t="inlineStr">
        <is>
          <t>Marisa Edith Arias</t>
        </is>
      </c>
      <c r="C103" s="188" t="inlineStr">
        <is>
          <t>M</t>
        </is>
      </c>
      <c r="D103" s="188" t="inlineStr">
        <is>
          <t>F</t>
        </is>
      </c>
      <c r="E103" s="188" t="n">
        <v>65</v>
      </c>
      <c r="F103" s="188" t="n">
        <v>1.65</v>
      </c>
      <c r="G103" s="188" t="n">
        <v>49</v>
      </c>
      <c r="H103" s="189" t="inlineStr">
        <is>
          <t>+55 (62) 98113-1375</t>
        </is>
      </c>
      <c r="I103" s="189" t="inlineStr">
        <is>
          <t>GOiania</t>
        </is>
      </c>
      <c r="J103" s="189" t="inlineStr">
        <is>
          <t>Thiago Lopes Damasceno</t>
        </is>
      </c>
      <c r="K103" s="189" t="inlineStr">
        <is>
          <t>Marina</t>
        </is>
      </c>
      <c r="L103" s="189" t="inlineStr">
        <is>
          <t>62984709419</t>
        </is>
      </c>
      <c r="M103" s="189" t="inlineStr">
        <is>
          <t>Geralda</t>
        </is>
      </c>
      <c r="N103" s="189" t="inlineStr">
        <is>
          <t>62981419250</t>
        </is>
      </c>
      <c r="O103" s="189" t="inlineStr">
        <is>
          <t>não</t>
        </is>
      </c>
      <c r="P103" s="189" t="inlineStr">
        <is>
          <t>1977-04-14</t>
        </is>
      </c>
      <c r="Q103" s="194" t="inlineStr">
        <is>
          <t>Simeão</t>
        </is>
      </c>
      <c r="R103" s="191" t="inlineStr"/>
    </row>
    <row r="104">
      <c r="A104" s="188" t="n">
        <v>103</v>
      </c>
      <c r="B104" s="189" t="inlineStr">
        <is>
          <t>MICHAEL SILVA DE ARAUJO</t>
        </is>
      </c>
      <c r="C104" s="188" t="inlineStr">
        <is>
          <t>M</t>
        </is>
      </c>
      <c r="D104" s="188" t="inlineStr">
        <is>
          <t>M</t>
        </is>
      </c>
      <c r="E104" s="188" t="n">
        <v>55</v>
      </c>
      <c r="F104" s="188" t="n">
        <v>1.68</v>
      </c>
      <c r="G104" s="188" t="n">
        <v>44</v>
      </c>
      <c r="H104" s="189" t="inlineStr">
        <is>
          <t>+55 (62) 99295-9042</t>
        </is>
      </c>
      <c r="I104" s="189" t="inlineStr">
        <is>
          <t>GOIANIA</t>
        </is>
      </c>
      <c r="J104" s="189" t="inlineStr">
        <is>
          <t>SIM, WENDEL, REGIANE, IURI, PENELOPE, KAIQUE</t>
        </is>
      </c>
      <c r="K104" s="189" t="inlineStr">
        <is>
          <t>WENDEL CANUTO IRMÃO</t>
        </is>
      </c>
      <c r="L104" s="189" t="inlineStr">
        <is>
          <t>62982315059</t>
        </is>
      </c>
      <c r="M104" s="189" t="inlineStr">
        <is>
          <t>REGIANE CUNHADA</t>
        </is>
      </c>
      <c r="N104" s="189" t="inlineStr">
        <is>
          <t>62982946306</t>
        </is>
      </c>
      <c r="O104" s="189" t="inlineStr">
        <is>
          <t>NÃO</t>
        </is>
      </c>
      <c r="P104" s="189" t="inlineStr">
        <is>
          <t>1981-08-24</t>
        </is>
      </c>
      <c r="Q104" s="198" t="inlineStr">
        <is>
          <t>Gad</t>
        </is>
      </c>
      <c r="R104" s="191" t="inlineStr"/>
    </row>
    <row r="105">
      <c r="A105" s="188" t="n">
        <v>104</v>
      </c>
      <c r="B105" s="189" t="inlineStr">
        <is>
          <t>Nara Campos Terra</t>
        </is>
      </c>
      <c r="C105" s="188" t="inlineStr">
        <is>
          <t>M</t>
        </is>
      </c>
      <c r="D105" s="188" t="inlineStr">
        <is>
          <t>F</t>
        </is>
      </c>
      <c r="E105" s="188" t="n">
        <v>77</v>
      </c>
      <c r="F105" s="188" t="n">
        <v>1.64</v>
      </c>
      <c r="G105" s="188" t="n">
        <v>20</v>
      </c>
      <c r="H105" s="189" t="inlineStr">
        <is>
          <t>+55 (62) 98180-1676</t>
        </is>
      </c>
      <c r="I105" s="189" t="inlineStr">
        <is>
          <t>Goiânia</t>
        </is>
      </c>
      <c r="J105" s="189" t="inlineStr">
        <is>
          <t>Não</t>
        </is>
      </c>
      <c r="K105" s="189" t="inlineStr">
        <is>
          <t>Nácza</t>
        </is>
      </c>
      <c r="L105" s="189" t="inlineStr">
        <is>
          <t>(62)982691516</t>
        </is>
      </c>
      <c r="M105" s="189" t="inlineStr">
        <is>
          <t>Nábia</t>
        </is>
      </c>
      <c r="N105" s="189" t="inlineStr">
        <is>
          <t>(62)981182219</t>
        </is>
      </c>
      <c r="O105" s="189" t="inlineStr">
        <is>
          <t>Não</t>
        </is>
      </c>
      <c r="P105" s="189" t="inlineStr">
        <is>
          <t>2005-08-04</t>
        </is>
      </c>
      <c r="Q105" s="192" t="inlineStr">
        <is>
          <t>Rubem</t>
        </is>
      </c>
      <c r="R105" s="191" t="inlineStr"/>
    </row>
    <row r="106">
      <c r="A106" s="188" t="n">
        <v>105</v>
      </c>
      <c r="B106" s="189" t="inlineStr">
        <is>
          <t>Natalia de Vasconcelos Saraiva</t>
        </is>
      </c>
      <c r="C106" s="188" t="inlineStr">
        <is>
          <t>G</t>
        </is>
      </c>
      <c r="D106" s="188" t="inlineStr">
        <is>
          <t>F</t>
        </is>
      </c>
      <c r="E106" s="188" t="n">
        <v>95</v>
      </c>
      <c r="F106" s="188" t="n">
        <v>1.63</v>
      </c>
      <c r="G106" s="188" t="n">
        <v>33</v>
      </c>
      <c r="H106" s="189" t="inlineStr">
        <is>
          <t>+55 (62) 99325-2912</t>
        </is>
      </c>
      <c r="I106" s="189" t="inlineStr">
        <is>
          <t>goianira</t>
        </is>
      </c>
      <c r="J106" s="189" t="inlineStr">
        <is>
          <t>não</t>
        </is>
      </c>
      <c r="K106" s="189" t="inlineStr">
        <is>
          <t>Fernanda de Vasconcelos Saraiva</t>
        </is>
      </c>
      <c r="L106" s="189" t="inlineStr">
        <is>
          <t>62981897671</t>
        </is>
      </c>
      <c r="M106" s="189" t="inlineStr">
        <is>
          <t>Francisca Vilma de Vasconcelos</t>
        </is>
      </c>
      <c r="N106" s="189" t="inlineStr">
        <is>
          <t>62991887495</t>
        </is>
      </c>
      <c r="O106" s="189" t="inlineStr">
        <is>
          <t>Vonal - remédio para enjôo</t>
        </is>
      </c>
      <c r="P106" s="189" t="inlineStr">
        <is>
          <t>1992-12-25</t>
        </is>
      </c>
      <c r="Q106" s="196" t="inlineStr">
        <is>
          <t>EFRAIM</t>
        </is>
      </c>
      <c r="R106" s="191" t="n">
        <v>21</v>
      </c>
    </row>
    <row r="107">
      <c r="A107" s="188" t="n">
        <v>106</v>
      </c>
      <c r="B107" s="189" t="inlineStr">
        <is>
          <t>Neide Adriana de Souza Caixeta</t>
        </is>
      </c>
      <c r="C107" s="188" t="inlineStr">
        <is>
          <t>M</t>
        </is>
      </c>
      <c r="D107" s="188" t="inlineStr">
        <is>
          <t>F</t>
        </is>
      </c>
      <c r="E107" s="188" t="n">
        <v>74</v>
      </c>
      <c r="F107" s="188" t="n">
        <v>1.62</v>
      </c>
      <c r="G107" s="188" t="n">
        <v>51</v>
      </c>
      <c r="H107" s="189" t="inlineStr">
        <is>
          <t>+55 (62) 99996-7283</t>
        </is>
      </c>
      <c r="I107" s="189" t="inlineStr">
        <is>
          <t>Vianópolis</t>
        </is>
      </c>
      <c r="J107" s="189" t="inlineStr">
        <is>
          <t>Não</t>
        </is>
      </c>
      <c r="K107" s="189" t="inlineStr">
        <is>
          <t>Isadora - Filha</t>
        </is>
      </c>
      <c r="L107" s="189" t="inlineStr">
        <is>
          <t>64993360401</t>
        </is>
      </c>
      <c r="M107" s="189" t="inlineStr">
        <is>
          <t>Laudo - Marido</t>
        </is>
      </c>
      <c r="N107" s="189" t="inlineStr">
        <is>
          <t>62999967283</t>
        </is>
      </c>
      <c r="O107" s="189" t="inlineStr">
        <is>
          <t>Não</t>
        </is>
      </c>
      <c r="P107" s="189" t="inlineStr">
        <is>
          <t>1975-02-02</t>
        </is>
      </c>
      <c r="Q107" s="194" t="inlineStr">
        <is>
          <t>Simeão</t>
        </is>
      </c>
      <c r="R107" s="191" t="inlineStr"/>
    </row>
    <row r="108">
      <c r="A108" s="188" t="n">
        <v>107</v>
      </c>
      <c r="B108" s="189" t="inlineStr">
        <is>
          <t>Nilson Gomes da Silva</t>
        </is>
      </c>
      <c r="C108" s="188" t="inlineStr">
        <is>
          <t>G</t>
        </is>
      </c>
      <c r="D108" s="188" t="inlineStr">
        <is>
          <t>M</t>
        </is>
      </c>
      <c r="E108" s="188" t="inlineStr"/>
      <c r="F108" s="188" t="inlineStr"/>
      <c r="G108" s="188" t="n">
        <v>57</v>
      </c>
      <c r="H108" s="189" t="inlineStr">
        <is>
          <t>+55 (62) 99622-7114</t>
        </is>
      </c>
      <c r="I108" s="189" t="inlineStr">
        <is>
          <t>Vianopolis</t>
        </is>
      </c>
      <c r="J108" s="189" t="inlineStr">
        <is>
          <t>Não</t>
        </is>
      </c>
      <c r="K108" s="189" t="inlineStr">
        <is>
          <t>João Antônio Oliveira Silva</t>
        </is>
      </c>
      <c r="L108" s="189" t="inlineStr">
        <is>
          <t>62999482791</t>
        </is>
      </c>
      <c r="M108" s="189" t="inlineStr">
        <is>
          <t>Aline Costa paiva</t>
        </is>
      </c>
      <c r="N108" s="189" t="inlineStr">
        <is>
          <t>62999481903</t>
        </is>
      </c>
      <c r="O108" s="189" t="inlineStr">
        <is>
          <t>Nao</t>
        </is>
      </c>
      <c r="P108" s="189" t="inlineStr">
        <is>
          <t>1968-10-05</t>
        </is>
      </c>
      <c r="Q108" s="198" t="inlineStr">
        <is>
          <t>Gad</t>
        </is>
      </c>
      <c r="R108" s="191" t="inlineStr"/>
    </row>
    <row r="109">
      <c r="A109" s="188" t="n">
        <v>108</v>
      </c>
      <c r="B109" s="189" t="inlineStr">
        <is>
          <t>Nivaldo Antônio Bueno</t>
        </is>
      </c>
      <c r="C109" s="188" t="inlineStr">
        <is>
          <t>M</t>
        </is>
      </c>
      <c r="D109" s="188" t="inlineStr">
        <is>
          <t>M</t>
        </is>
      </c>
      <c r="E109" s="188" t="n">
        <v>80</v>
      </c>
      <c r="F109" s="188" t="n">
        <v>1.7</v>
      </c>
      <c r="G109" s="188" t="n">
        <v>37</v>
      </c>
      <c r="H109" s="189" t="inlineStr">
        <is>
          <t>+55 (62) 99939-1892</t>
        </is>
      </c>
      <c r="I109" s="189" t="inlineStr">
        <is>
          <t>Silvania</t>
        </is>
      </c>
      <c r="J109" s="189" t="inlineStr">
        <is>
          <t>Não</t>
        </is>
      </c>
      <c r="K109" s="189" t="inlineStr">
        <is>
          <t>62 99945-2232</t>
        </is>
      </c>
      <c r="L109" s="189" t="inlineStr">
        <is>
          <t>62999059711</t>
        </is>
      </c>
      <c r="M109" s="189" t="inlineStr">
        <is>
          <t>62 99945-2232</t>
        </is>
      </c>
      <c r="N109" s="189" t="inlineStr">
        <is>
          <t>62999546054</t>
        </is>
      </c>
      <c r="O109" s="189" t="inlineStr">
        <is>
          <t>Nao</t>
        </is>
      </c>
      <c r="P109" s="189" t="inlineStr">
        <is>
          <t>1988-12-06</t>
        </is>
      </c>
      <c r="Q109" s="198" t="inlineStr">
        <is>
          <t>Gad</t>
        </is>
      </c>
      <c r="R109" s="191" t="inlineStr"/>
    </row>
    <row r="110">
      <c r="A110" s="188" t="n">
        <v>109</v>
      </c>
      <c r="B110" s="189" t="inlineStr">
        <is>
          <t>Nycolly Alves Santos</t>
        </is>
      </c>
      <c r="C110" s="188" t="inlineStr">
        <is>
          <t>GG</t>
        </is>
      </c>
      <c r="D110" s="188" t="inlineStr">
        <is>
          <t>F</t>
        </is>
      </c>
      <c r="E110" s="188" t="n">
        <v>104</v>
      </c>
      <c r="F110" s="188" t="n">
        <v>1.76</v>
      </c>
      <c r="G110" s="188" t="n">
        <v>22</v>
      </c>
      <c r="H110" s="189" t="inlineStr">
        <is>
          <t>+55 (62) 98219-3730</t>
        </is>
      </c>
      <c r="I110" s="189" t="inlineStr">
        <is>
          <t>Goiânia</t>
        </is>
      </c>
      <c r="J110" s="189" t="inlineStr">
        <is>
          <t>Não</t>
        </is>
      </c>
      <c r="K110" s="189" t="inlineStr">
        <is>
          <t>Junio Batista (pai)</t>
        </is>
      </c>
      <c r="L110" s="189" t="inlineStr">
        <is>
          <t>62999840302</t>
        </is>
      </c>
      <c r="M110" s="189" t="inlineStr">
        <is>
          <t>Guilherme (irmão)</t>
        </is>
      </c>
      <c r="N110" s="189" t="inlineStr">
        <is>
          <t>981954933</t>
        </is>
      </c>
      <c r="O110" s="189" t="inlineStr">
        <is>
          <t>Não</t>
        </is>
      </c>
      <c r="P110" s="189" t="inlineStr">
        <is>
          <t>2003-07-05</t>
        </is>
      </c>
      <c r="Q110" s="192" t="inlineStr">
        <is>
          <t>Rubem</t>
        </is>
      </c>
      <c r="R110" s="191" t="inlineStr"/>
    </row>
    <row r="111">
      <c r="A111" s="188" t="n">
        <v>110</v>
      </c>
      <c r="B111" s="189" t="inlineStr">
        <is>
          <t>Nádia Regina Coelho Moura</t>
        </is>
      </c>
      <c r="C111" s="188" t="inlineStr">
        <is>
          <t>PP</t>
        </is>
      </c>
      <c r="D111" s="188" t="inlineStr">
        <is>
          <t>F</t>
        </is>
      </c>
      <c r="E111" s="188" t="n">
        <v>60</v>
      </c>
      <c r="F111" s="188" t="n">
        <v>1.67</v>
      </c>
      <c r="G111" s="188" t="n">
        <v>34</v>
      </c>
      <c r="H111" s="189" t="inlineStr">
        <is>
          <t>+55 (62) 98557-0108</t>
        </is>
      </c>
      <c r="I111" s="189" t="inlineStr">
        <is>
          <t>goiânia</t>
        </is>
      </c>
      <c r="J111" s="189" t="inlineStr">
        <is>
          <t>não</t>
        </is>
      </c>
      <c r="K111" s="189" t="inlineStr">
        <is>
          <t>Antonio Carlos Moura</t>
        </is>
      </c>
      <c r="L111" s="189" t="inlineStr">
        <is>
          <t>+55 62 98103-0562</t>
        </is>
      </c>
      <c r="M111" s="189" t="inlineStr">
        <is>
          <t>Silma Coelho Moura</t>
        </is>
      </c>
      <c r="N111" s="189" t="inlineStr">
        <is>
          <t>62985570108</t>
        </is>
      </c>
      <c r="O111" s="189" t="inlineStr">
        <is>
          <t>hidrocortisona, abelhas, mosquitos</t>
        </is>
      </c>
      <c r="P111" s="189" t="inlineStr">
        <is>
          <t>1991-05-04</t>
        </is>
      </c>
      <c r="Q111" s="196" t="inlineStr">
        <is>
          <t>EFRAIM</t>
        </is>
      </c>
      <c r="R111" s="191" t="inlineStr"/>
    </row>
    <row r="112">
      <c r="A112" s="188" t="n">
        <v>111</v>
      </c>
      <c r="B112" s="189" t="inlineStr">
        <is>
          <t>Paulo Barbosa de Oliveira</t>
        </is>
      </c>
      <c r="C112" s="188" t="inlineStr">
        <is>
          <t>M</t>
        </is>
      </c>
      <c r="D112" s="188" t="inlineStr">
        <is>
          <t>M</t>
        </is>
      </c>
      <c r="E112" s="188" t="n">
        <v>83</v>
      </c>
      <c r="F112" s="188" t="n">
        <v>1.72</v>
      </c>
      <c r="G112" s="188" t="n">
        <v>63</v>
      </c>
      <c r="H112" s="189" t="inlineStr">
        <is>
          <t>+55 (62) 99629-3597</t>
        </is>
      </c>
      <c r="I112" s="189" t="inlineStr">
        <is>
          <t>Vianópolis</t>
        </is>
      </c>
      <c r="J112" s="189" t="inlineStr">
        <is>
          <t>Sim, Fernanda Gonçalves, Elisvania Maria, Nilson Oliveira, Matheus Romuldo</t>
        </is>
      </c>
      <c r="K112" s="189" t="inlineStr">
        <is>
          <t>Lara Caixeta</t>
        </is>
      </c>
      <c r="L112" s="189" t="inlineStr">
        <is>
          <t>62999413446</t>
        </is>
      </c>
      <c r="M112" s="189" t="inlineStr">
        <is>
          <t>Diogo Caixeta</t>
        </is>
      </c>
      <c r="N112" s="189" t="inlineStr">
        <is>
          <t>62998477709</t>
        </is>
      </c>
      <c r="O112" s="189" t="inlineStr">
        <is>
          <t>Não</t>
        </is>
      </c>
      <c r="P112" s="189" t="inlineStr">
        <is>
          <t>1962-06-19</t>
        </is>
      </c>
      <c r="Q112" s="192" t="inlineStr">
        <is>
          <t>Rubem</t>
        </is>
      </c>
      <c r="R112" s="191" t="inlineStr"/>
    </row>
    <row r="113">
      <c r="A113" s="188" t="n">
        <v>112</v>
      </c>
      <c r="B113" s="189" t="inlineStr">
        <is>
          <t>PAULO GODOI</t>
        </is>
      </c>
      <c r="C113" s="188" t="inlineStr">
        <is>
          <t>G</t>
        </is>
      </c>
      <c r="D113" s="188" t="inlineStr">
        <is>
          <t>M</t>
        </is>
      </c>
      <c r="E113" s="188" t="n">
        <v>83</v>
      </c>
      <c r="F113" s="188" t="n">
        <v>1.81</v>
      </c>
      <c r="G113" s="188" t="n">
        <v>30</v>
      </c>
      <c r="H113" s="189" t="inlineStr">
        <is>
          <t>+55 (62) 99318-7871</t>
        </is>
      </c>
      <c r="I113" s="189" t="inlineStr">
        <is>
          <t>Goiania</t>
        </is>
      </c>
      <c r="J113" s="189" t="inlineStr">
        <is>
          <t>Sim, Valter Jr. como servidor</t>
        </is>
      </c>
      <c r="K113" s="189" t="inlineStr">
        <is>
          <t>Michel</t>
        </is>
      </c>
      <c r="L113" s="189" t="inlineStr">
        <is>
          <t>62982199507</t>
        </is>
      </c>
      <c r="M113" s="189" t="inlineStr">
        <is>
          <t>João Reis</t>
        </is>
      </c>
      <c r="N113" s="189" t="inlineStr">
        <is>
          <t>62983019799</t>
        </is>
      </c>
      <c r="O113" s="189" t="inlineStr">
        <is>
          <t>nao</t>
        </is>
      </c>
      <c r="P113" s="189" t="inlineStr">
        <is>
          <t>1995-11-25</t>
        </is>
      </c>
      <c r="Q113" s="195" t="inlineStr">
        <is>
          <t>Judá</t>
        </is>
      </c>
      <c r="R113" s="191" t="inlineStr"/>
    </row>
    <row r="114">
      <c r="A114" s="188" t="n">
        <v>113</v>
      </c>
      <c r="B114" s="189" t="inlineStr">
        <is>
          <t>Pedro igor Garcia Marques</t>
        </is>
      </c>
      <c r="C114" s="188" t="inlineStr">
        <is>
          <t>G</t>
        </is>
      </c>
      <c r="D114" s="188" t="inlineStr">
        <is>
          <t>M</t>
        </is>
      </c>
      <c r="E114" s="188" t="n">
        <v>80</v>
      </c>
      <c r="F114" s="188" t="n">
        <v>1.71</v>
      </c>
      <c r="G114" s="188" t="n">
        <v>32</v>
      </c>
      <c r="H114" s="189" t="inlineStr">
        <is>
          <t>+55 (62) 99861-3334</t>
        </is>
      </c>
      <c r="I114" s="189" t="inlineStr">
        <is>
          <t>Goiânia</t>
        </is>
      </c>
      <c r="J114" s="189" t="inlineStr">
        <is>
          <t>Não</t>
        </is>
      </c>
      <c r="K114" s="189" t="inlineStr">
        <is>
          <t>Amanda Aguair</t>
        </is>
      </c>
      <c r="L114" s="189" t="inlineStr">
        <is>
          <t>62981122395</t>
        </is>
      </c>
      <c r="M114" s="189" t="inlineStr">
        <is>
          <t>0</t>
        </is>
      </c>
      <c r="N114" s="189" t="inlineStr">
        <is>
          <t>0</t>
        </is>
      </c>
      <c r="O114" s="189" t="inlineStr">
        <is>
          <t>Não</t>
        </is>
      </c>
      <c r="P114" s="189" t="inlineStr">
        <is>
          <t>1993-05-23</t>
        </is>
      </c>
      <c r="Q114" s="194" t="inlineStr">
        <is>
          <t>Simeão</t>
        </is>
      </c>
      <c r="R114" s="191" t="inlineStr"/>
    </row>
    <row r="115">
      <c r="A115" s="188" t="n">
        <v>114</v>
      </c>
      <c r="B115" s="189" t="inlineStr">
        <is>
          <t>Pedro Luan Torres</t>
        </is>
      </c>
      <c r="C115" s="188" t="inlineStr">
        <is>
          <t>G</t>
        </is>
      </c>
      <c r="D115" s="188" t="inlineStr">
        <is>
          <t>M</t>
        </is>
      </c>
      <c r="E115" s="188" t="n">
        <v>85</v>
      </c>
      <c r="F115" s="188" t="n">
        <v>1.75</v>
      </c>
      <c r="G115" s="188" t="n">
        <v>24</v>
      </c>
      <c r="H115" s="189" t="inlineStr">
        <is>
          <t>+55 (62) 98618-7482</t>
        </is>
      </c>
      <c r="I115" s="189" t="inlineStr">
        <is>
          <t>Goiânia</t>
        </is>
      </c>
      <c r="J115" s="189" t="inlineStr">
        <is>
          <t>não</t>
        </is>
      </c>
      <c r="K115" s="189" t="inlineStr">
        <is>
          <t>62986292015 Angela Roberta esposa</t>
        </is>
      </c>
      <c r="L115" s="189" t="inlineStr">
        <is>
          <t>62986292015</t>
        </is>
      </c>
      <c r="M115" s="189" t="inlineStr">
        <is>
          <t>62986292015 Angela Roberta esposa</t>
        </is>
      </c>
      <c r="N115" s="189" t="inlineStr">
        <is>
          <t>62986292015</t>
        </is>
      </c>
      <c r="O115" s="189" t="inlineStr">
        <is>
          <t>não</t>
        </is>
      </c>
      <c r="P115" s="189" t="inlineStr">
        <is>
          <t>2001-08-16</t>
        </is>
      </c>
      <c r="Q115" s="195" t="inlineStr">
        <is>
          <t>Judá</t>
        </is>
      </c>
      <c r="R115" s="191" t="inlineStr"/>
    </row>
    <row r="116">
      <c r="A116" s="188" t="n">
        <v>115</v>
      </c>
      <c r="B116" s="189" t="inlineStr">
        <is>
          <t>Pedro Paulo Barbosa Ferraz</t>
        </is>
      </c>
      <c r="C116" s="188" t="inlineStr">
        <is>
          <t>GG</t>
        </is>
      </c>
      <c r="D116" s="188" t="inlineStr">
        <is>
          <t>M</t>
        </is>
      </c>
      <c r="E116" s="188" t="n">
        <v>94</v>
      </c>
      <c r="F116" s="188" t="n">
        <v>1.8</v>
      </c>
      <c r="G116" s="188" t="n">
        <v>22</v>
      </c>
      <c r="H116" s="189" t="inlineStr">
        <is>
          <t>+55 (62) 99203-0273</t>
        </is>
      </c>
      <c r="I116" s="189" t="inlineStr">
        <is>
          <t>Goiânia</t>
        </is>
      </c>
      <c r="J116" s="189" t="inlineStr">
        <is>
          <t>Não</t>
        </is>
      </c>
      <c r="K116" s="189" t="inlineStr">
        <is>
          <t>Alixandre Bruno</t>
        </is>
      </c>
      <c r="L116" s="189" t="inlineStr">
        <is>
          <t>62 99279-7801</t>
        </is>
      </c>
      <c r="M116" s="189" t="inlineStr">
        <is>
          <t>Monica Sousa</t>
        </is>
      </c>
      <c r="N116" s="189" t="inlineStr">
        <is>
          <t>62 99620-3940</t>
        </is>
      </c>
      <c r="O116" s="189" t="inlineStr">
        <is>
          <t>Xarope</t>
        </is>
      </c>
      <c r="P116" s="189" t="inlineStr">
        <is>
          <t>2003-04-22</t>
        </is>
      </c>
      <c r="Q116" s="190" t="inlineStr">
        <is>
          <t>Benjamim</t>
        </is>
      </c>
      <c r="R116" s="191" t="inlineStr"/>
    </row>
    <row r="117">
      <c r="A117" s="188" t="n">
        <v>116</v>
      </c>
      <c r="B117" s="189" t="inlineStr">
        <is>
          <t>Pedro Quintiliano da Fonseca</t>
        </is>
      </c>
      <c r="C117" s="188" t="inlineStr">
        <is>
          <t>M</t>
        </is>
      </c>
      <c r="D117" s="188" t="inlineStr">
        <is>
          <t>M</t>
        </is>
      </c>
      <c r="E117" s="188" t="n">
        <v>81</v>
      </c>
      <c r="F117" s="188" t="n">
        <v>1.8</v>
      </c>
      <c r="G117" s="188" t="n">
        <v>46</v>
      </c>
      <c r="H117" s="189" t="inlineStr">
        <is>
          <t>+55 (79) 99971-5577</t>
        </is>
      </c>
      <c r="I117" s="189" t="inlineStr">
        <is>
          <t>Aracaju</t>
        </is>
      </c>
      <c r="J117" s="189" t="inlineStr">
        <is>
          <t>Nao</t>
        </is>
      </c>
      <c r="K117" s="189" t="inlineStr">
        <is>
          <t>Andrea</t>
        </is>
      </c>
      <c r="L117" s="189" t="inlineStr">
        <is>
          <t>71 99114-9203</t>
        </is>
      </c>
      <c r="M117" s="189" t="inlineStr">
        <is>
          <t>Gustavo</t>
        </is>
      </c>
      <c r="N117" s="189" t="inlineStr">
        <is>
          <t>79 99979-3134</t>
        </is>
      </c>
      <c r="O117" s="189" t="inlineStr">
        <is>
          <t>Nao</t>
        </is>
      </c>
      <c r="P117" s="189" t="inlineStr">
        <is>
          <t>1979-05-25</t>
        </is>
      </c>
      <c r="Q117" s="194" t="inlineStr">
        <is>
          <t>Simeão</t>
        </is>
      </c>
      <c r="R117" s="191" t="inlineStr"/>
    </row>
    <row r="118">
      <c r="A118" s="188" t="n">
        <v>117</v>
      </c>
      <c r="B118" s="189" t="inlineStr">
        <is>
          <t>Polianna Vieira Castro</t>
        </is>
      </c>
      <c r="C118" s="188" t="inlineStr">
        <is>
          <t>P</t>
        </is>
      </c>
      <c r="D118" s="188" t="inlineStr">
        <is>
          <t>F</t>
        </is>
      </c>
      <c r="E118" s="188" t="n">
        <v>53</v>
      </c>
      <c r="F118" s="188" t="n">
        <v>1.6</v>
      </c>
      <c r="G118" s="188" t="n">
        <v>41</v>
      </c>
      <c r="H118" s="189" t="inlineStr">
        <is>
          <t>+55 (62) 99933-4654</t>
        </is>
      </c>
      <c r="I118" s="189" t="inlineStr">
        <is>
          <t>Goiânia</t>
        </is>
      </c>
      <c r="J118" s="189" t="inlineStr">
        <is>
          <t>Cleonis Castro</t>
        </is>
      </c>
      <c r="K118" s="189" t="inlineStr">
        <is>
          <t>Iraci</t>
        </is>
      </c>
      <c r="L118" s="189" t="inlineStr">
        <is>
          <t>62996745312</t>
        </is>
      </c>
      <c r="M118" s="189" t="inlineStr">
        <is>
          <t>Larissa</t>
        </is>
      </c>
      <c r="N118" s="189" t="inlineStr">
        <is>
          <t>62999765788</t>
        </is>
      </c>
      <c r="O118" s="189" t="inlineStr">
        <is>
          <t>Dipirona 1g/ mosquito</t>
        </is>
      </c>
      <c r="P118" s="189" t="inlineStr">
        <is>
          <t>1984-11-13</t>
        </is>
      </c>
      <c r="Q118" s="195" t="inlineStr">
        <is>
          <t>Judá</t>
        </is>
      </c>
      <c r="R118" s="191" t="inlineStr"/>
    </row>
    <row r="119">
      <c r="A119" s="188" t="n">
        <v>118</v>
      </c>
      <c r="B119" s="189" t="inlineStr">
        <is>
          <t>POLLYANA MEDEIROS VILAR</t>
        </is>
      </c>
      <c r="C119" s="188" t="inlineStr">
        <is>
          <t>M</t>
        </is>
      </c>
      <c r="D119" s="188" t="inlineStr">
        <is>
          <t>F</t>
        </is>
      </c>
      <c r="E119" s="188" t="n">
        <v>66</v>
      </c>
      <c r="F119" s="188" t="n">
        <v>1.64</v>
      </c>
      <c r="G119" s="188" t="n">
        <v>33</v>
      </c>
      <c r="H119" s="189" t="inlineStr">
        <is>
          <t>+55 (62) 99161-8525</t>
        </is>
      </c>
      <c r="I119" s="189" t="inlineStr">
        <is>
          <t>Goiânia</t>
        </is>
      </c>
      <c r="J119" s="189" t="inlineStr">
        <is>
          <t>Bárbara, vai servir</t>
        </is>
      </c>
      <c r="K119" s="189" t="inlineStr">
        <is>
          <t>mae 86035908 wtpp</t>
        </is>
      </c>
      <c r="L119" s="189" t="inlineStr">
        <is>
          <t>62991618525</t>
        </is>
      </c>
      <c r="M119" s="189" t="inlineStr">
        <is>
          <t>hernani 985479948</t>
        </is>
      </c>
      <c r="N119" s="189" t="inlineStr">
        <is>
          <t>62982305646</t>
        </is>
      </c>
      <c r="O119" s="189" t="inlineStr">
        <is>
          <t>penicilina</t>
        </is>
      </c>
      <c r="P119" s="189" t="inlineStr">
        <is>
          <t>1992-10-16</t>
        </is>
      </c>
      <c r="Q119" s="198" t="inlineStr">
        <is>
          <t>Gad</t>
        </is>
      </c>
      <c r="R119" s="191" t="inlineStr"/>
    </row>
    <row r="120">
      <c r="A120" s="188" t="n">
        <v>119</v>
      </c>
      <c r="B120" s="189" t="inlineStr">
        <is>
          <t>Rafaela Freitas</t>
        </is>
      </c>
      <c r="C120" s="188" t="inlineStr">
        <is>
          <t>P</t>
        </is>
      </c>
      <c r="D120" s="188" t="inlineStr">
        <is>
          <t>F</t>
        </is>
      </c>
      <c r="E120" s="188" t="n">
        <v>65</v>
      </c>
      <c r="F120" s="188" t="n">
        <v>1.63</v>
      </c>
      <c r="G120" s="188" t="n">
        <v>24</v>
      </c>
      <c r="H120" s="189" t="inlineStr">
        <is>
          <t>+55 (64) 99958-1360</t>
        </is>
      </c>
      <c r="I120" s="189" t="inlineStr">
        <is>
          <t>Vianopolis</t>
        </is>
      </c>
      <c r="J120" s="189" t="inlineStr">
        <is>
          <t>Namorado (Marcos Vinícius)</t>
        </is>
      </c>
      <c r="K120" s="189" t="inlineStr">
        <is>
          <t>Mãe (Fabiana)</t>
        </is>
      </c>
      <c r="L120" s="189" t="inlineStr">
        <is>
          <t>62999000024</t>
        </is>
      </c>
      <c r="M120" s="189" t="inlineStr">
        <is>
          <t>Kely (amiga próxima)</t>
        </is>
      </c>
      <c r="N120" s="189" t="inlineStr">
        <is>
          <t>62999577345</t>
        </is>
      </c>
      <c r="O120" s="189" t="inlineStr">
        <is>
          <t>Amoxicicilina</t>
        </is>
      </c>
      <c r="P120" s="189" t="inlineStr">
        <is>
          <t>2002-01-06</t>
        </is>
      </c>
      <c r="Q120" s="198" t="inlineStr">
        <is>
          <t>Gad</t>
        </is>
      </c>
      <c r="R120" s="191" t="n">
        <v>93</v>
      </c>
    </row>
    <row r="121">
      <c r="A121" s="188" t="n">
        <v>120</v>
      </c>
      <c r="B121" s="189" t="inlineStr">
        <is>
          <t>Raul Ganassini</t>
        </is>
      </c>
      <c r="C121" s="188" t="inlineStr">
        <is>
          <t>GG1</t>
        </is>
      </c>
      <c r="D121" s="188" t="inlineStr">
        <is>
          <t>M</t>
        </is>
      </c>
      <c r="E121" s="188" t="n">
        <v>118</v>
      </c>
      <c r="F121" s="188" t="n">
        <v>1.79</v>
      </c>
      <c r="G121" s="188" t="n">
        <v>33</v>
      </c>
      <c r="H121" s="189" t="inlineStr">
        <is>
          <t>+55 (66) 98446-8785</t>
        </is>
      </c>
      <c r="I121" s="189" t="inlineStr">
        <is>
          <t>Canarana</t>
        </is>
      </c>
      <c r="J121" s="189" t="inlineStr">
        <is>
          <t>Sim minha esposa Bruna</t>
        </is>
      </c>
      <c r="K121" s="189" t="inlineStr">
        <is>
          <t>Camila Padilha</t>
        </is>
      </c>
      <c r="L121" s="189" t="inlineStr">
        <is>
          <t>66.996215646</t>
        </is>
      </c>
      <c r="M121" s="189" t="inlineStr">
        <is>
          <t>Franciele Pasold</t>
        </is>
      </c>
      <c r="N121" s="189" t="inlineStr">
        <is>
          <t>66.9.92076690</t>
        </is>
      </c>
      <c r="O121" s="189" t="inlineStr">
        <is>
          <t>Não</t>
        </is>
      </c>
      <c r="P121" s="189" t="inlineStr">
        <is>
          <t>1992-07-15</t>
        </is>
      </c>
      <c r="Q121" s="193" t="inlineStr">
        <is>
          <t>Levi</t>
        </is>
      </c>
      <c r="R121" s="191" t="inlineStr"/>
    </row>
    <row r="122">
      <c r="A122" s="188" t="n">
        <v>121</v>
      </c>
      <c r="B122" s="189" t="inlineStr">
        <is>
          <t>Rodrigo Ralliele Silva Almeida</t>
        </is>
      </c>
      <c r="C122" s="188" t="inlineStr">
        <is>
          <t>G</t>
        </is>
      </c>
      <c r="D122" s="188" t="inlineStr">
        <is>
          <t>M</t>
        </is>
      </c>
      <c r="E122" s="188" t="n">
        <v>98</v>
      </c>
      <c r="F122" s="188" t="n">
        <v>1.83</v>
      </c>
      <c r="G122" s="188" t="n">
        <v>22</v>
      </c>
      <c r="H122" s="189" t="inlineStr">
        <is>
          <t>+55 (62) 95579-5583</t>
        </is>
      </c>
      <c r="I122" s="189" t="inlineStr">
        <is>
          <t>GOIÂNIA</t>
        </is>
      </c>
      <c r="J122" s="189" t="inlineStr">
        <is>
          <t>SIM, RICKEYE</t>
        </is>
      </c>
      <c r="K122" s="189" t="inlineStr">
        <is>
          <t>GIOVANA - NAMORADA</t>
        </is>
      </c>
      <c r="L122" s="189" t="inlineStr">
        <is>
          <t>62 8537-6137</t>
        </is>
      </c>
      <c r="M122" s="189" t="inlineStr">
        <is>
          <t>SANDRA - MAE</t>
        </is>
      </c>
      <c r="N122" s="189" t="inlineStr">
        <is>
          <t>62 9461-4668</t>
        </is>
      </c>
      <c r="O122" s="189" t="inlineStr">
        <is>
          <t>NÃO</t>
        </is>
      </c>
      <c r="P122" s="189" t="inlineStr">
        <is>
          <t>2004-02-03</t>
        </is>
      </c>
      <c r="Q122" s="194" t="inlineStr">
        <is>
          <t>Simeão</t>
        </is>
      </c>
      <c r="R122" s="191" t="inlineStr"/>
    </row>
    <row r="123">
      <c r="A123" s="188" t="n">
        <v>122</v>
      </c>
      <c r="B123" s="189" t="inlineStr">
        <is>
          <t>Rodrigo seronni frota</t>
        </is>
      </c>
      <c r="C123" s="188" t="inlineStr">
        <is>
          <t>G</t>
        </is>
      </c>
      <c r="D123" s="188" t="inlineStr">
        <is>
          <t>M</t>
        </is>
      </c>
      <c r="E123" s="188" t="n">
        <v>83</v>
      </c>
      <c r="F123" s="188" t="inlineStr"/>
      <c r="G123" s="188" t="n">
        <v>46</v>
      </c>
      <c r="H123" s="189" t="inlineStr">
        <is>
          <t>+55 (62) 98159-5545</t>
        </is>
      </c>
      <c r="I123" s="189" t="inlineStr">
        <is>
          <t>Goiânia</t>
        </is>
      </c>
      <c r="J123" s="189" t="inlineStr">
        <is>
          <t>Leonardo crispim</t>
        </is>
      </c>
      <c r="K123" s="189" t="inlineStr">
        <is>
          <t>Irmão Hugo Walter Frota Beto</t>
        </is>
      </c>
      <c r="L123" s="189" t="inlineStr">
        <is>
          <t>32218000</t>
        </is>
      </c>
      <c r="M123" s="189" t="inlineStr">
        <is>
          <t>Irmão Pedro Seronni Frota</t>
        </is>
      </c>
      <c r="N123" s="189" t="inlineStr">
        <is>
          <t>32218000</t>
        </is>
      </c>
      <c r="O123" s="189" t="inlineStr">
        <is>
          <t>Não</t>
        </is>
      </c>
      <c r="P123" s="189" t="inlineStr">
        <is>
          <t>1979-10-13</t>
        </is>
      </c>
      <c r="Q123" s="198" t="inlineStr">
        <is>
          <t>Gad</t>
        </is>
      </c>
      <c r="R123" s="191" t="inlineStr"/>
    </row>
    <row r="124">
      <c r="A124" s="188" t="n">
        <v>123</v>
      </c>
      <c r="B124" s="189" t="inlineStr">
        <is>
          <t>Sara Angel Pinho de Paula Pacheco</t>
        </is>
      </c>
      <c r="C124" s="188" t="inlineStr">
        <is>
          <t>M</t>
        </is>
      </c>
      <c r="D124" s="188" t="inlineStr">
        <is>
          <t>F</t>
        </is>
      </c>
      <c r="E124" s="188" t="n">
        <v>56</v>
      </c>
      <c r="F124" s="188" t="n">
        <v>1.57</v>
      </c>
      <c r="G124" s="188" t="n">
        <v>26</v>
      </c>
      <c r="H124" s="189" t="inlineStr">
        <is>
          <t>+55 (62) 99304-2632</t>
        </is>
      </c>
      <c r="I124" s="189" t="inlineStr">
        <is>
          <t>Goiânia</t>
        </is>
      </c>
      <c r="J124" s="189" t="inlineStr">
        <is>
          <t>Edson Junior esposo, amigos: Josane, Pedro Luan, e Thais (está na lista de reserva)</t>
        </is>
      </c>
      <c r="K124" s="189" t="inlineStr">
        <is>
          <t>Mãe Jackeline</t>
        </is>
      </c>
      <c r="L124" s="189" t="inlineStr">
        <is>
          <t>62 99117-1714 somente WhatsApp</t>
        </is>
      </c>
      <c r="M124" s="189" t="inlineStr">
        <is>
          <t>Tia Suely</t>
        </is>
      </c>
      <c r="N124" s="189" t="inlineStr">
        <is>
          <t>62 99292-3030 ligação/WhatsApp</t>
        </is>
      </c>
      <c r="O124" s="189" t="inlineStr">
        <is>
          <t>alimentação vegetariana, alergia:bromopida, dramin.</t>
        </is>
      </c>
      <c r="P124" s="189" t="inlineStr">
        <is>
          <t>1999-07-14</t>
        </is>
      </c>
      <c r="Q124" s="190" t="inlineStr">
        <is>
          <t>Benjamim</t>
        </is>
      </c>
      <c r="R124" s="191" t="inlineStr"/>
    </row>
    <row r="125">
      <c r="A125" s="188" t="n">
        <v>124</v>
      </c>
      <c r="B125" s="189" t="inlineStr">
        <is>
          <t>Symonne Araújo Brandão de Paula</t>
        </is>
      </c>
      <c r="C125" s="188" t="inlineStr">
        <is>
          <t>M</t>
        </is>
      </c>
      <c r="D125" s="188" t="inlineStr">
        <is>
          <t>F</t>
        </is>
      </c>
      <c r="E125" s="188" t="inlineStr"/>
      <c r="F125" s="188" t="n">
        <v>1.59</v>
      </c>
      <c r="G125" s="188" t="n">
        <v>53</v>
      </c>
      <c r="H125" s="189" t="inlineStr">
        <is>
          <t>+55 (62) 99614-3634</t>
        </is>
      </c>
      <c r="I125" s="189" t="inlineStr">
        <is>
          <t>Goiânia</t>
        </is>
      </c>
      <c r="J125" s="189" t="inlineStr">
        <is>
          <t>Felipe Carvalho e Vanessa Samara</t>
        </is>
      </c>
      <c r="K125" s="189" t="inlineStr">
        <is>
          <t>Marido - Ailton</t>
        </is>
      </c>
      <c r="L125" s="189" t="inlineStr">
        <is>
          <t>62 996310546</t>
        </is>
      </c>
      <c r="M125" s="189" t="inlineStr">
        <is>
          <t>Filho - Lucas</t>
        </is>
      </c>
      <c r="N125" s="189" t="inlineStr">
        <is>
          <t>+55 62 99153-2909</t>
        </is>
      </c>
      <c r="O125" s="189" t="inlineStr">
        <is>
          <t>Medicamento Sulfa</t>
        </is>
      </c>
      <c r="P125" s="189" t="inlineStr">
        <is>
          <t>1972-07-08</t>
        </is>
      </c>
      <c r="Q125" s="193" t="inlineStr">
        <is>
          <t>Levi</t>
        </is>
      </c>
      <c r="R125" s="191" t="inlineStr"/>
    </row>
    <row r="126">
      <c r="A126" s="188" t="n">
        <v>125</v>
      </c>
      <c r="B126" s="189" t="inlineStr">
        <is>
          <t>Tatiana Franco dos Santos</t>
        </is>
      </c>
      <c r="C126" s="188" t="inlineStr">
        <is>
          <t>M</t>
        </is>
      </c>
      <c r="D126" s="188" t="inlineStr">
        <is>
          <t>F</t>
        </is>
      </c>
      <c r="E126" s="188" t="n">
        <v>68</v>
      </c>
      <c r="F126" s="188" t="inlineStr"/>
      <c r="G126" s="188" t="n">
        <v>40</v>
      </c>
      <c r="H126" s="189" t="inlineStr">
        <is>
          <t>+55 (62) 98285-0337</t>
        </is>
      </c>
      <c r="I126" s="189" t="inlineStr">
        <is>
          <t>Goiânia</t>
        </is>
      </c>
      <c r="J126" s="189" t="inlineStr">
        <is>
          <t>Não</t>
        </is>
      </c>
      <c r="K126" s="189" t="inlineStr">
        <is>
          <t>Thalita Franco (irmã)</t>
        </is>
      </c>
      <c r="L126" s="189" t="inlineStr">
        <is>
          <t>62-981827480</t>
        </is>
      </c>
      <c r="M126" s="189" t="inlineStr">
        <is>
          <t>Pedro Assis (cunhado)</t>
        </is>
      </c>
      <c r="N126" s="189" t="inlineStr">
        <is>
          <t>62-981762137</t>
        </is>
      </c>
      <c r="O126" s="189" t="inlineStr">
        <is>
          <t>Sim, alergia de pelo, mofo e poeira.</t>
        </is>
      </c>
      <c r="P126" s="189" t="inlineStr">
        <is>
          <t>1986-04-09</t>
        </is>
      </c>
      <c r="Q126" s="193" t="inlineStr">
        <is>
          <t>Levi</t>
        </is>
      </c>
      <c r="R126" s="191" t="inlineStr"/>
    </row>
    <row r="127">
      <c r="A127" s="188" t="n">
        <v>126</v>
      </c>
      <c r="B127" s="189" t="inlineStr">
        <is>
          <t>Tavilla Silva Lagares</t>
        </is>
      </c>
      <c r="C127" s="188" t="inlineStr">
        <is>
          <t>M</t>
        </is>
      </c>
      <c r="D127" s="188" t="inlineStr">
        <is>
          <t>F</t>
        </is>
      </c>
      <c r="E127" s="188" t="n">
        <v>60</v>
      </c>
      <c r="F127" s="188" t="n">
        <v>1.65</v>
      </c>
      <c r="G127" s="188" t="n">
        <v>31</v>
      </c>
      <c r="H127" s="189" t="inlineStr">
        <is>
          <t>+55 (62) 99446-4641</t>
        </is>
      </c>
      <c r="I127" s="189" t="inlineStr">
        <is>
          <t>Goiânia</t>
        </is>
      </c>
      <c r="J127" s="189" t="inlineStr">
        <is>
          <t>Não</t>
        </is>
      </c>
      <c r="K127" s="189" t="inlineStr">
        <is>
          <t>Tafarel - esposo</t>
        </is>
      </c>
      <c r="L127" s="189" t="inlineStr">
        <is>
          <t>62991713327</t>
        </is>
      </c>
      <c r="M127" s="189" t="inlineStr">
        <is>
          <t>Marlene - mãe</t>
        </is>
      </c>
      <c r="N127" s="189" t="inlineStr">
        <is>
          <t>62992237226</t>
        </is>
      </c>
      <c r="O127" s="189" t="inlineStr">
        <is>
          <t>Não</t>
        </is>
      </c>
      <c r="P127" s="189" t="inlineStr">
        <is>
          <t>1994-11-12</t>
        </is>
      </c>
      <c r="Q127" s="190" t="inlineStr">
        <is>
          <t>Benjamim</t>
        </is>
      </c>
      <c r="R127" s="191" t="inlineStr"/>
    </row>
    <row r="128">
      <c r="A128" s="188" t="n">
        <v>127</v>
      </c>
      <c r="B128" s="189" t="inlineStr">
        <is>
          <t>Taynara Batista D'Ávila</t>
        </is>
      </c>
      <c r="C128" s="188" t="inlineStr">
        <is>
          <t>G</t>
        </is>
      </c>
      <c r="D128" s="188" t="inlineStr">
        <is>
          <t>F</t>
        </is>
      </c>
      <c r="E128" s="188" t="n">
        <v>62</v>
      </c>
      <c r="F128" s="188" t="n">
        <v>1.6</v>
      </c>
      <c r="G128" s="188" t="n">
        <v>36</v>
      </c>
      <c r="H128" s="189" t="inlineStr">
        <is>
          <t>+55 (62) 98215-1915</t>
        </is>
      </c>
      <c r="I128" s="189" t="inlineStr">
        <is>
          <t>Goiânia</t>
        </is>
      </c>
      <c r="J128" s="189" t="inlineStr">
        <is>
          <t>Não.</t>
        </is>
      </c>
      <c r="K128" s="189" t="inlineStr">
        <is>
          <t>Vinícius</t>
        </is>
      </c>
      <c r="L128" s="189" t="inlineStr">
        <is>
          <t>62985536637</t>
        </is>
      </c>
      <c r="M128" s="189" t="inlineStr">
        <is>
          <t>Jaime</t>
        </is>
      </c>
      <c r="N128" s="189" t="inlineStr">
        <is>
          <t>62981742601</t>
        </is>
      </c>
      <c r="O128" s="189" t="inlineStr">
        <is>
          <t>Não.</t>
        </is>
      </c>
      <c r="P128" s="189" t="inlineStr">
        <is>
          <t>1989-06-27</t>
        </is>
      </c>
      <c r="Q128" s="199" t="inlineStr">
        <is>
          <t>Issacar</t>
        </is>
      </c>
      <c r="R128" s="191" t="inlineStr"/>
    </row>
    <row r="129">
      <c r="A129" s="188" t="n">
        <v>128</v>
      </c>
      <c r="B129" s="189" t="inlineStr">
        <is>
          <t>Thairine Rodrigues da silva</t>
        </is>
      </c>
      <c r="C129" s="188" t="inlineStr">
        <is>
          <t>M</t>
        </is>
      </c>
      <c r="D129" s="188" t="inlineStr">
        <is>
          <t>F</t>
        </is>
      </c>
      <c r="E129" s="188" t="n">
        <v>62</v>
      </c>
      <c r="F129" s="188" t="n">
        <v>1.56</v>
      </c>
      <c r="G129" s="188" t="n">
        <v>28</v>
      </c>
      <c r="H129" s="189" t="inlineStr">
        <is>
          <t>+55 (62) 98429-1300</t>
        </is>
      </c>
      <c r="I129" s="189" t="inlineStr">
        <is>
          <t>Goiania</t>
        </is>
      </c>
      <c r="J129" s="189" t="inlineStr">
        <is>
          <t>Nao</t>
        </is>
      </c>
      <c r="K129" s="189" t="inlineStr">
        <is>
          <t>Mãe (Giovanna)</t>
        </is>
      </c>
      <c r="L129" s="189" t="inlineStr">
        <is>
          <t>6298402-0946</t>
        </is>
      </c>
      <c r="M129" s="189" t="inlineStr">
        <is>
          <t>Pai (Cosmo)</t>
        </is>
      </c>
      <c r="N129" s="189" t="inlineStr">
        <is>
          <t>62996888589</t>
        </is>
      </c>
      <c r="O129" s="189" t="inlineStr">
        <is>
          <t>Não</t>
        </is>
      </c>
      <c r="P129" s="189" t="inlineStr">
        <is>
          <t>1998-04-10</t>
        </is>
      </c>
      <c r="Q129" s="199" t="inlineStr">
        <is>
          <t>Issacar</t>
        </is>
      </c>
      <c r="R129" s="191" t="inlineStr"/>
    </row>
    <row r="130">
      <c r="A130" s="188" t="n">
        <v>129</v>
      </c>
      <c r="B130" s="189" t="inlineStr">
        <is>
          <t>thais borges bonfim</t>
        </is>
      </c>
      <c r="C130" s="188" t="inlineStr">
        <is>
          <t>G</t>
        </is>
      </c>
      <c r="D130" s="188" t="inlineStr">
        <is>
          <t>F</t>
        </is>
      </c>
      <c r="E130" s="188" t="n">
        <v>91</v>
      </c>
      <c r="F130" s="188" t="n">
        <v>1.6</v>
      </c>
      <c r="G130" s="188" t="n">
        <v>23</v>
      </c>
      <c r="H130" s="189" t="inlineStr">
        <is>
          <t>+55 (62) 99204-2489</t>
        </is>
      </c>
      <c r="I130" s="189" t="inlineStr">
        <is>
          <t>goiania</t>
        </is>
      </c>
      <c r="J130" s="189" t="inlineStr">
        <is>
          <t>não</t>
        </is>
      </c>
      <c r="K130" s="189" t="inlineStr">
        <is>
          <t>62 8240-8475 - rhuan esposo</t>
        </is>
      </c>
      <c r="L130" s="189" t="inlineStr">
        <is>
          <t>62 8240-8475</t>
        </is>
      </c>
      <c r="M130" s="189" t="inlineStr">
        <is>
          <t>62 9623-2195 - geiziany irmã</t>
        </is>
      </c>
      <c r="N130" s="189" t="inlineStr">
        <is>
          <t>62 9623-2195</t>
        </is>
      </c>
      <c r="O130" s="189" t="inlineStr">
        <is>
          <t>não</t>
        </is>
      </c>
      <c r="P130" s="189" t="inlineStr">
        <is>
          <t>2003-01-30</t>
        </is>
      </c>
      <c r="Q130" s="194" t="inlineStr">
        <is>
          <t>Simeão</t>
        </is>
      </c>
      <c r="R130" s="191" t="inlineStr"/>
    </row>
    <row r="131">
      <c r="A131" s="188" t="n">
        <v>130</v>
      </c>
      <c r="B131" s="189" t="inlineStr">
        <is>
          <t>Thiago Lopes Damasceno</t>
        </is>
      </c>
      <c r="C131" s="188" t="inlineStr">
        <is>
          <t>G</t>
        </is>
      </c>
      <c r="D131" s="188" t="inlineStr">
        <is>
          <t>M</t>
        </is>
      </c>
      <c r="E131" s="188" t="n">
        <v>95</v>
      </c>
      <c r="F131" s="188" t="n">
        <v>1.84</v>
      </c>
      <c r="G131" s="188" t="n">
        <v>45</v>
      </c>
      <c r="H131" s="189" t="inlineStr">
        <is>
          <t>+55 (62) 98131-6708</t>
        </is>
      </c>
      <c r="I131" s="189" t="inlineStr">
        <is>
          <t>Goiania</t>
        </is>
      </c>
      <c r="J131" s="189" t="inlineStr">
        <is>
          <t>Marisa Edith Arias</t>
        </is>
      </c>
      <c r="K131" s="189" t="inlineStr">
        <is>
          <t>Marina</t>
        </is>
      </c>
      <c r="L131" s="189" t="inlineStr">
        <is>
          <t>62984709419</t>
        </is>
      </c>
      <c r="M131" s="189" t="inlineStr">
        <is>
          <t>Geralda</t>
        </is>
      </c>
      <c r="N131" s="189" t="inlineStr">
        <is>
          <t>62981419250</t>
        </is>
      </c>
      <c r="O131" s="189" t="inlineStr">
        <is>
          <t>não</t>
        </is>
      </c>
      <c r="P131" s="189" t="inlineStr">
        <is>
          <t>1980-04-16</t>
        </is>
      </c>
      <c r="Q131" s="198" t="inlineStr">
        <is>
          <t>Gad</t>
        </is>
      </c>
      <c r="R131" s="191" t="inlineStr"/>
    </row>
    <row r="132">
      <c r="A132" s="188" t="n">
        <v>131</v>
      </c>
      <c r="B132" s="189" t="inlineStr">
        <is>
          <t>Thiago Machado dos Santos</t>
        </is>
      </c>
      <c r="C132" s="188" t="inlineStr">
        <is>
          <t>G</t>
        </is>
      </c>
      <c r="D132" s="188" t="inlineStr">
        <is>
          <t>M</t>
        </is>
      </c>
      <c r="E132" s="188" t="inlineStr"/>
      <c r="F132" s="188" t="n">
        <v>1.82</v>
      </c>
      <c r="G132" s="188" t="n">
        <v>41</v>
      </c>
      <c r="H132" s="189" t="inlineStr">
        <is>
          <t>+55 (62) 98577-8513</t>
        </is>
      </c>
      <c r="I132" s="189" t="inlineStr">
        <is>
          <t>Goiânia</t>
        </is>
      </c>
      <c r="J132" s="189" t="inlineStr">
        <is>
          <t>Maria Clara Silva Scarpa</t>
        </is>
      </c>
      <c r="K132" s="189" t="inlineStr">
        <is>
          <t>Gabriella Arruda</t>
        </is>
      </c>
      <c r="L132" s="189" t="inlineStr">
        <is>
          <t>62982232555</t>
        </is>
      </c>
      <c r="M132" s="189" t="inlineStr">
        <is>
          <t>Maria Lúcia</t>
        </is>
      </c>
      <c r="N132" s="189" t="inlineStr">
        <is>
          <t>62999142285</t>
        </is>
      </c>
      <c r="O132" s="189" t="inlineStr">
        <is>
          <t>Não</t>
        </is>
      </c>
      <c r="P132" s="189" t="inlineStr">
        <is>
          <t>1984-10-21</t>
        </is>
      </c>
      <c r="Q132" s="190" t="inlineStr">
        <is>
          <t>Benjamim</t>
        </is>
      </c>
      <c r="R132" s="191" t="inlineStr"/>
    </row>
    <row r="133">
      <c r="A133" s="188" t="n">
        <v>132</v>
      </c>
      <c r="B133" s="189" t="inlineStr">
        <is>
          <t>Tiago Nunes de Castro</t>
        </is>
      </c>
      <c r="C133" s="188" t="inlineStr">
        <is>
          <t>G1</t>
        </is>
      </c>
      <c r="D133" s="188" t="inlineStr">
        <is>
          <t>M</t>
        </is>
      </c>
      <c r="E133" s="188" t="n">
        <v>106</v>
      </c>
      <c r="F133" s="188" t="n">
        <v>1.85</v>
      </c>
      <c r="G133" s="188" t="n">
        <v>41</v>
      </c>
      <c r="H133" s="189" t="inlineStr">
        <is>
          <t>+55 (62) 99844-4010</t>
        </is>
      </c>
      <c r="I133" s="189" t="inlineStr">
        <is>
          <t>Trindade</t>
        </is>
      </c>
      <c r="J133" s="189" t="inlineStr">
        <is>
          <t>Não</t>
        </is>
      </c>
      <c r="K133" s="189" t="inlineStr">
        <is>
          <t>Lídia Mônica Carvalho de Castro</t>
        </is>
      </c>
      <c r="L133" s="189" t="inlineStr">
        <is>
          <t>62998444012</t>
        </is>
      </c>
      <c r="M133" s="189" t="inlineStr">
        <is>
          <t>Fabio Nunes de Castro</t>
        </is>
      </c>
      <c r="N133" s="189" t="inlineStr">
        <is>
          <t>62999992006</t>
        </is>
      </c>
      <c r="O133" s="189" t="inlineStr">
        <is>
          <t>Não.</t>
        </is>
      </c>
      <c r="P133" s="189" t="inlineStr">
        <is>
          <t>1984-05-07</t>
        </is>
      </c>
      <c r="Q133" s="198" t="inlineStr">
        <is>
          <t>Gad</t>
        </is>
      </c>
      <c r="R133" s="191" t="inlineStr"/>
    </row>
    <row r="134">
      <c r="A134" s="188" t="n">
        <v>133</v>
      </c>
      <c r="B134" s="189" t="inlineStr">
        <is>
          <t>TÂNIA MÔNICA</t>
        </is>
      </c>
      <c r="C134" s="188" t="inlineStr">
        <is>
          <t>GG</t>
        </is>
      </c>
      <c r="D134" s="188" t="inlineStr">
        <is>
          <t>F</t>
        </is>
      </c>
      <c r="E134" s="188" t="n">
        <v>90</v>
      </c>
      <c r="F134" s="188" t="n">
        <v>1.7</v>
      </c>
      <c r="G134" s="188" t="n">
        <v>51</v>
      </c>
      <c r="H134" s="189" t="inlineStr">
        <is>
          <t>+55 (62) 99959-0095</t>
        </is>
      </c>
      <c r="I134" s="189" t="inlineStr">
        <is>
          <t>Silvânia</t>
        </is>
      </c>
      <c r="J134" s="189" t="inlineStr">
        <is>
          <t>Sim, Carlos Bruno, Carla Rodrigues, Laura Neves</t>
        </is>
      </c>
      <c r="K134" s="189" t="inlineStr">
        <is>
          <t>Maryana</t>
        </is>
      </c>
      <c r="L134" s="189" t="inlineStr">
        <is>
          <t>62999573333</t>
        </is>
      </c>
      <c r="M134" s="189" t="inlineStr">
        <is>
          <t>Diogo</t>
        </is>
      </c>
      <c r="N134" s="189" t="inlineStr">
        <is>
          <t>62998056686</t>
        </is>
      </c>
      <c r="O134" s="189" t="inlineStr">
        <is>
          <t>Não</t>
        </is>
      </c>
      <c r="P134" s="189" t="inlineStr">
        <is>
          <t>1974-12-16</t>
        </is>
      </c>
      <c r="Q134" s="190" t="inlineStr">
        <is>
          <t>Benjamim</t>
        </is>
      </c>
      <c r="R134" s="191" t="inlineStr"/>
    </row>
    <row r="135">
      <c r="A135" s="188" t="n">
        <v>134</v>
      </c>
      <c r="B135" s="189" t="inlineStr">
        <is>
          <t>Vanessa Samara Gonçalves</t>
        </is>
      </c>
      <c r="C135" s="188" t="inlineStr">
        <is>
          <t>P</t>
        </is>
      </c>
      <c r="D135" s="188" t="inlineStr">
        <is>
          <t>F</t>
        </is>
      </c>
      <c r="E135" s="188" t="n">
        <v>60</v>
      </c>
      <c r="F135" s="188" t="n">
        <v>1.6</v>
      </c>
      <c r="G135" s="188" t="n">
        <v>50</v>
      </c>
      <c r="H135" s="189" t="inlineStr">
        <is>
          <t>+55 (64) 99289-0784</t>
        </is>
      </c>
      <c r="I135" s="189" t="inlineStr">
        <is>
          <t>São Luis de Montes Belos</t>
        </is>
      </c>
      <c r="J135" s="189" t="inlineStr">
        <is>
          <t>Sim. Felipe Carvalho de Matos e Symonne Araújo de Paula Brandão</t>
        </is>
      </c>
      <c r="K135" s="189" t="inlineStr">
        <is>
          <t>Reges - Compadre</t>
        </is>
      </c>
      <c r="L135" s="189" t="inlineStr">
        <is>
          <t>62 99216 2599</t>
        </is>
      </c>
      <c r="M135" s="189" t="inlineStr">
        <is>
          <t>Larissa - Prima</t>
        </is>
      </c>
      <c r="N135" s="189" t="inlineStr">
        <is>
          <t>62 9958 3694</t>
        </is>
      </c>
      <c r="O135" s="189" t="inlineStr">
        <is>
          <t>Não</t>
        </is>
      </c>
      <c r="P135" s="189" t="inlineStr">
        <is>
          <t>1975-12-26</t>
        </is>
      </c>
      <c r="Q135" s="190" t="inlineStr">
        <is>
          <t>Benjamim</t>
        </is>
      </c>
      <c r="R135" s="191" t="inlineStr"/>
    </row>
    <row r="136">
      <c r="A136" s="188" t="n">
        <v>135</v>
      </c>
      <c r="B136" s="189" t="inlineStr">
        <is>
          <t>Victor Hugo Ribeiro Clementino</t>
        </is>
      </c>
      <c r="C136" s="188" t="inlineStr">
        <is>
          <t>M</t>
        </is>
      </c>
      <c r="D136" s="188" t="inlineStr">
        <is>
          <t>M</t>
        </is>
      </c>
      <c r="E136" s="188" t="n">
        <v>74</v>
      </c>
      <c r="F136" s="188" t="n">
        <v>1.74</v>
      </c>
      <c r="G136" s="188" t="n">
        <v>35</v>
      </c>
      <c r="H136" s="189" t="inlineStr">
        <is>
          <t>+55 (62) 99433-5038</t>
        </is>
      </c>
      <c r="I136" s="189" t="inlineStr">
        <is>
          <t>Aparecida de Goiânia</t>
        </is>
      </c>
      <c r="J136" s="189" t="inlineStr">
        <is>
          <t>Não</t>
        </is>
      </c>
      <c r="K136" s="189" t="inlineStr">
        <is>
          <t>Nivalda</t>
        </is>
      </c>
      <c r="L136" s="189" t="inlineStr">
        <is>
          <t>62995519243</t>
        </is>
      </c>
      <c r="M136" s="189" t="inlineStr">
        <is>
          <t>Lorena</t>
        </is>
      </c>
      <c r="N136" s="189" t="inlineStr">
        <is>
          <t>62991469453</t>
        </is>
      </c>
      <c r="O136" s="189" t="inlineStr">
        <is>
          <t>Picada de inseto</t>
        </is>
      </c>
      <c r="P136" s="189" t="inlineStr">
        <is>
          <t>1991-04-06</t>
        </is>
      </c>
      <c r="Q136" s="248" t="inlineStr">
        <is>
          <t>Zabulom</t>
        </is>
      </c>
      <c r="R136" s="191" t="inlineStr"/>
    </row>
    <row r="137">
      <c r="A137" s="188" t="n">
        <v>136</v>
      </c>
      <c r="B137" s="189" t="inlineStr">
        <is>
          <t>Vilma Júlia Estevão</t>
        </is>
      </c>
      <c r="C137" s="188" t="inlineStr">
        <is>
          <t>G</t>
        </is>
      </c>
      <c r="D137" s="188" t="inlineStr">
        <is>
          <t>F</t>
        </is>
      </c>
      <c r="E137" s="188" t="n">
        <v>70</v>
      </c>
      <c r="F137" s="188" t="n">
        <v>1.6</v>
      </c>
      <c r="G137" s="188" t="n">
        <v>71</v>
      </c>
      <c r="H137" s="189" t="inlineStr">
        <is>
          <t>+55 (62) 99249-1342</t>
        </is>
      </c>
      <c r="I137" s="189" t="inlineStr">
        <is>
          <t>Goiânia</t>
        </is>
      </c>
      <c r="J137" s="189" t="inlineStr">
        <is>
          <t>Nao</t>
        </is>
      </c>
      <c r="K137" s="189" t="inlineStr">
        <is>
          <t>Henrique Estevão 992940702</t>
        </is>
      </c>
      <c r="L137" s="189" t="inlineStr">
        <is>
          <t>62992940702</t>
        </is>
      </c>
      <c r="M137" s="189" t="inlineStr">
        <is>
          <t>João Paulo 992234060</t>
        </is>
      </c>
      <c r="N137" s="189" t="inlineStr">
        <is>
          <t>62992234060</t>
        </is>
      </c>
      <c r="O137" s="189" t="inlineStr">
        <is>
          <t>Nao</t>
        </is>
      </c>
      <c r="P137" s="189" t="inlineStr">
        <is>
          <t>1954-11-18</t>
        </is>
      </c>
      <c r="Q137" s="198" t="inlineStr">
        <is>
          <t>Gad</t>
        </is>
      </c>
      <c r="R137" s="191" t="inlineStr"/>
    </row>
    <row r="138">
      <c r="A138" s="188" t="n">
        <v>137</v>
      </c>
      <c r="B138" s="189" t="inlineStr">
        <is>
          <t>Vitória Alves Sardinha</t>
        </is>
      </c>
      <c r="C138" s="188" t="inlineStr">
        <is>
          <t>GG</t>
        </is>
      </c>
      <c r="D138" s="188" t="inlineStr">
        <is>
          <t>F</t>
        </is>
      </c>
      <c r="E138" s="188" t="n">
        <v>95</v>
      </c>
      <c r="F138" s="188" t="n">
        <v>1.65</v>
      </c>
      <c r="G138" s="188" t="n">
        <v>30</v>
      </c>
      <c r="H138" s="189" t="inlineStr">
        <is>
          <t>+55 (62) 98148-3874</t>
        </is>
      </c>
      <c r="I138" s="189" t="inlineStr">
        <is>
          <t>Goiania</t>
        </is>
      </c>
      <c r="J138" s="189" t="inlineStr">
        <is>
          <t>Marcos Aurélio Barreto Sávio - esposo</t>
        </is>
      </c>
      <c r="K138" s="189" t="inlineStr">
        <is>
          <t>Clarisse Martins -cunhada</t>
        </is>
      </c>
      <c r="L138" s="189" t="inlineStr">
        <is>
          <t>+55 62 99996-0681</t>
        </is>
      </c>
      <c r="M138" s="189" t="inlineStr">
        <is>
          <t>Celi - Mãe</t>
        </is>
      </c>
      <c r="N138" s="189" t="inlineStr">
        <is>
          <t>+55 62 98188-9497</t>
        </is>
      </c>
      <c r="O138" s="189" t="inlineStr">
        <is>
          <t>Não</t>
        </is>
      </c>
      <c r="P138" s="189" t="inlineStr">
        <is>
          <t>1996-03-22</t>
        </is>
      </c>
      <c r="Q138" s="198" t="inlineStr">
        <is>
          <t>Gad</t>
        </is>
      </c>
      <c r="R138" s="191" t="n">
        <v>91</v>
      </c>
    </row>
    <row r="139">
      <c r="A139" s="188" t="n">
        <v>138</v>
      </c>
      <c r="B139" s="189" t="inlineStr">
        <is>
          <t>Wanessa morais Neri</t>
        </is>
      </c>
      <c r="C139" s="188" t="inlineStr">
        <is>
          <t>M</t>
        </is>
      </c>
      <c r="D139" s="188" t="inlineStr">
        <is>
          <t>F</t>
        </is>
      </c>
      <c r="E139" s="188" t="n">
        <v>73</v>
      </c>
      <c r="F139" s="188" t="n">
        <v>1.67</v>
      </c>
      <c r="G139" s="188" t="n">
        <v>43</v>
      </c>
      <c r="H139" s="189" t="inlineStr">
        <is>
          <t>+55 (62) 98147-2366</t>
        </is>
      </c>
      <c r="I139" s="189" t="inlineStr">
        <is>
          <t>Goiania</t>
        </is>
      </c>
      <c r="J139" s="189" t="inlineStr">
        <is>
          <t>Não</t>
        </is>
      </c>
      <c r="K139" s="189" t="inlineStr">
        <is>
          <t>Iramar</t>
        </is>
      </c>
      <c r="L139" s="189" t="inlineStr">
        <is>
          <t>6299231253</t>
        </is>
      </c>
      <c r="M139" s="189" t="inlineStr">
        <is>
          <t>Ana Vitória</t>
        </is>
      </c>
      <c r="N139" s="189" t="inlineStr">
        <is>
          <t>62983160044</t>
        </is>
      </c>
      <c r="O139" s="189" t="inlineStr">
        <is>
          <t>Não</t>
        </is>
      </c>
      <c r="P139" s="189" t="inlineStr">
        <is>
          <t>1982-06-26</t>
        </is>
      </c>
      <c r="Q139" s="193" t="inlineStr">
        <is>
          <t>Levi</t>
        </is>
      </c>
      <c r="R139" s="191" t="inlineStr"/>
    </row>
    <row r="140">
      <c r="A140" s="188" t="n">
        <v>139</v>
      </c>
      <c r="B140" s="189" t="inlineStr">
        <is>
          <t>Weronica  Fernandes Carneiro da Cruz</t>
        </is>
      </c>
      <c r="C140" s="188" t="inlineStr">
        <is>
          <t>P</t>
        </is>
      </c>
      <c r="D140" s="188" t="inlineStr">
        <is>
          <t>F</t>
        </is>
      </c>
      <c r="E140" s="188" t="n">
        <v>69</v>
      </c>
      <c r="F140" s="188" t="n">
        <v>1.65</v>
      </c>
      <c r="G140" s="188" t="n">
        <v>35</v>
      </c>
      <c r="H140" s="189" t="inlineStr">
        <is>
          <t>+55 (64) 98405-8328</t>
        </is>
      </c>
      <c r="I140" s="189" t="inlineStr">
        <is>
          <t>Rio Verde</t>
        </is>
      </c>
      <c r="J140" s="189" t="inlineStr">
        <is>
          <t>sim</t>
        </is>
      </c>
      <c r="K140" s="189" t="inlineStr">
        <is>
          <t>Vinicius Roberto Da Cruz</t>
        </is>
      </c>
      <c r="L140" s="189" t="inlineStr">
        <is>
          <t>64996480435</t>
        </is>
      </c>
      <c r="M140" s="189" t="inlineStr">
        <is>
          <t>Dilson Alvez Fernandes</t>
        </is>
      </c>
      <c r="N140" s="189" t="inlineStr">
        <is>
          <t>+55 62 8407-3625</t>
        </is>
      </c>
      <c r="O140" s="189" t="inlineStr">
        <is>
          <t>não</t>
        </is>
      </c>
      <c r="P140" s="189" t="inlineStr">
        <is>
          <t>1990-12-26</t>
        </is>
      </c>
      <c r="Q140" s="199" t="inlineStr">
        <is>
          <t>Issacar</t>
        </is>
      </c>
      <c r="R140" s="191" t="inlineStr"/>
    </row>
    <row r="141">
      <c r="A141" s="188" t="n">
        <v>140</v>
      </c>
      <c r="B141" s="189" t="inlineStr">
        <is>
          <t>Wilson ferreira filho</t>
        </is>
      </c>
      <c r="C141" s="188" t="inlineStr">
        <is>
          <t>G</t>
        </is>
      </c>
      <c r="D141" s="188" t="inlineStr">
        <is>
          <t>M</t>
        </is>
      </c>
      <c r="E141" s="188" t="n">
        <v>89</v>
      </c>
      <c r="F141" s="188" t="n">
        <v>1.73</v>
      </c>
      <c r="G141" s="188" t="n">
        <v>39</v>
      </c>
      <c r="H141" s="189" t="inlineStr">
        <is>
          <t>+55 (64) 99328-8272</t>
        </is>
      </c>
      <c r="I141" s="189" t="inlineStr">
        <is>
          <t>São Luís de montes belos</t>
        </is>
      </c>
      <c r="J141" s="189" t="inlineStr">
        <is>
          <t>Sim Ana Julia</t>
        </is>
      </c>
      <c r="K141" s="189" t="inlineStr">
        <is>
          <t>Ana Julia</t>
        </is>
      </c>
      <c r="L141" s="189" t="inlineStr">
        <is>
          <t>62982829115</t>
        </is>
      </c>
      <c r="M141" s="189" t="inlineStr">
        <is>
          <t>César Pedro</t>
        </is>
      </c>
      <c r="N141" s="189" t="inlineStr">
        <is>
          <t>62982829115</t>
        </is>
      </c>
      <c r="O141" s="189" t="inlineStr">
        <is>
          <t>Não</t>
        </is>
      </c>
      <c r="P141" s="189" t="inlineStr">
        <is>
          <t>1986-08-01</t>
        </is>
      </c>
      <c r="Q141" s="194" t="inlineStr">
        <is>
          <t>Simeão</t>
        </is>
      </c>
      <c r="R141" s="191" t="inlineStr"/>
    </row>
    <row r="142">
      <c r="A142" s="200" t="n">
        <v>141</v>
      </c>
      <c r="B142" s="201" t="inlineStr">
        <is>
          <t>Adriana G Coimbra</t>
        </is>
      </c>
      <c r="C142" s="200" t="inlineStr">
        <is>
          <t>M</t>
        </is>
      </c>
      <c r="D142" s="200" t="inlineStr">
        <is>
          <t>F</t>
        </is>
      </c>
      <c r="E142" s="200" t="n">
        <v>79</v>
      </c>
      <c r="F142" s="200" t="n">
        <v>1.63</v>
      </c>
      <c r="G142" s="200" t="n">
        <v>34</v>
      </c>
      <c r="H142" s="201" t="inlineStr">
        <is>
          <t>+55 (62) 99916-0286</t>
        </is>
      </c>
      <c r="I142" s="201" t="inlineStr">
        <is>
          <t>Silvania</t>
        </is>
      </c>
      <c r="J142" s="201" t="inlineStr">
        <is>
          <t>Sim , esposo Nivaldo Bueno</t>
        </is>
      </c>
      <c r="K142" s="201" t="inlineStr">
        <is>
          <t>62999059711</t>
        </is>
      </c>
      <c r="L142" s="201" t="inlineStr">
        <is>
          <t>62999059711</t>
        </is>
      </c>
      <c r="M142" s="201" t="inlineStr">
        <is>
          <t>62999546054</t>
        </is>
      </c>
      <c r="N142" s="201" t="inlineStr">
        <is>
          <t>999546054</t>
        </is>
      </c>
      <c r="O142" s="201" t="inlineStr">
        <is>
          <t>Não</t>
        </is>
      </c>
      <c r="P142" s="201" t="inlineStr">
        <is>
          <t>1992-02-13</t>
        </is>
      </c>
      <c r="Q142" s="198" t="inlineStr">
        <is>
          <t>Gad</t>
        </is>
      </c>
      <c r="R142" s="191" t="inlineStr"/>
    </row>
    <row r="143">
      <c r="A143" s="200" t="n">
        <v>142</v>
      </c>
      <c r="B143" s="201" t="inlineStr">
        <is>
          <t>Maria Divina Pereira Costa</t>
        </is>
      </c>
      <c r="C143" s="200" t="inlineStr">
        <is>
          <t>G</t>
        </is>
      </c>
      <c r="D143" s="200" t="inlineStr">
        <is>
          <t>F</t>
        </is>
      </c>
      <c r="E143" s="200" t="n">
        <v>75</v>
      </c>
      <c r="F143" s="200" t="n">
        <v>1.67</v>
      </c>
      <c r="G143" s="200" t="n">
        <v>55</v>
      </c>
      <c r="H143" s="201" t="inlineStr">
        <is>
          <t>+55 (66) 98413-1510</t>
        </is>
      </c>
      <c r="I143" s="201" t="inlineStr">
        <is>
          <t>Porto Alegre do Norte</t>
        </is>
      </c>
      <c r="J143" s="201" t="inlineStr">
        <is>
          <t>não</t>
        </is>
      </c>
      <c r="K143" s="201" t="inlineStr">
        <is>
          <t>Fernando  ( filho )</t>
        </is>
      </c>
      <c r="L143" s="201" t="inlineStr">
        <is>
          <t>62985893941</t>
        </is>
      </c>
      <c r="M143" s="201" t="inlineStr">
        <is>
          <t>Sadiane   ( nora)</t>
        </is>
      </c>
      <c r="N143" s="201" t="inlineStr">
        <is>
          <t>62985795331</t>
        </is>
      </c>
      <c r="O143" s="201" t="inlineStr">
        <is>
          <t>insetos ( abelha  )</t>
        </is>
      </c>
      <c r="P143" s="201" t="inlineStr">
        <is>
          <t>1970-12-03</t>
        </is>
      </c>
      <c r="Q143" s="196" t="inlineStr">
        <is>
          <t>EFRAIM</t>
        </is>
      </c>
      <c r="R143" s="191" t="inlineStr"/>
    </row>
    <row r="144">
      <c r="A144" s="200" t="n">
        <v>143</v>
      </c>
      <c r="B144" s="201" t="inlineStr">
        <is>
          <t>Vinícius Queiroz</t>
        </is>
      </c>
      <c r="C144" s="200" t="inlineStr">
        <is>
          <t>M</t>
        </is>
      </c>
      <c r="D144" s="200" t="inlineStr">
        <is>
          <t>M</t>
        </is>
      </c>
      <c r="E144" s="200" t="n">
        <v>72</v>
      </c>
      <c r="F144" s="200" t="n">
        <v>1.76</v>
      </c>
      <c r="G144" s="200" t="n">
        <v>40</v>
      </c>
      <c r="H144" s="201" t="inlineStr">
        <is>
          <t>+55 (62) 98206-9603</t>
        </is>
      </c>
      <c r="I144" s="201" t="inlineStr">
        <is>
          <t>Goiânia</t>
        </is>
      </c>
      <c r="J144" s="201" t="inlineStr">
        <is>
          <t>Pedro Igor, cunhado. Não sei se consegui-o se inscrever</t>
        </is>
      </c>
      <c r="K144" s="201" t="inlineStr">
        <is>
          <t>Ariany - esposa</t>
        </is>
      </c>
      <c r="L144" s="201" t="inlineStr">
        <is>
          <t>62 98206 9604</t>
        </is>
      </c>
      <c r="M144" s="201" t="inlineStr">
        <is>
          <t>Abadia - mãe</t>
        </is>
      </c>
      <c r="N144" s="201" t="inlineStr">
        <is>
          <t>62 98531 1000</t>
        </is>
      </c>
      <c r="O144" s="201" t="inlineStr">
        <is>
          <t>Não,Mas sou diabético</t>
        </is>
      </c>
      <c r="P144" s="201" t="inlineStr">
        <is>
          <t>1985-12-01</t>
        </is>
      </c>
      <c r="Q144" s="248" t="inlineStr">
        <is>
          <t>Zabulom</t>
        </is>
      </c>
      <c r="R144" s="191" t="inlineStr"/>
    </row>
    <row r="145">
      <c r="A145" s="6" t="n"/>
      <c r="B145" s="7" t="n"/>
      <c r="C145" s="6" t="n"/>
      <c r="D145" s="6" t="n"/>
      <c r="E145" s="6" t="n"/>
      <c r="F145" s="6" t="n"/>
      <c r="G145" s="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15" t="n"/>
      <c r="R145" s="6" t="n"/>
    </row>
    <row r="146"/>
    <row r="147">
      <c r="A147" s="184" t="n"/>
    </row>
  </sheetData>
  <mergeCells count="1">
    <mergeCell ref="A147:R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5"/>
  <sheetViews>
    <sheetView tabSelected="1" topLeftCell="A283" workbookViewId="0">
      <selection activeCell="I310" sqref="I310:J310"/>
    </sheetView>
  </sheetViews>
  <sheetFormatPr baseColWidth="8" defaultRowHeight="14.4"/>
  <cols>
    <col width="7" customWidth="1" style="121" min="1" max="1"/>
    <col width="38" customWidth="1" style="121" min="2" max="2"/>
    <col width="7" customWidth="1" style="121" min="3" max="5"/>
    <col width="22" customWidth="1" style="121" min="6" max="6"/>
    <col width="13" customWidth="1" style="121" min="7" max="7"/>
    <col width="22" customWidth="1" style="121" min="8" max="8"/>
    <col width="48" customWidth="1" style="121" min="9" max="9"/>
    <col width="6" customWidth="1" style="121" min="10" max="10"/>
    <col width="9" customWidth="1" style="121" min="11" max="11"/>
    <col width="8" customWidth="1" style="121" min="12" max="12"/>
  </cols>
  <sheetData>
    <row r="1" ht="28" customHeight="1" s="121">
      <c r="A1" s="172" t="inlineStr">
        <is>
          <t>Cor: Amarela</t>
        </is>
      </c>
      <c r="B1" s="136" t="n"/>
      <c r="C1" s="136" t="n"/>
      <c r="D1" s="136" t="n"/>
      <c r="E1" s="150" t="inlineStr">
        <is>
          <t>Tribo Simeão</t>
        </is>
      </c>
      <c r="F1" s="136" t="n"/>
      <c r="G1" s="136" t="n"/>
      <c r="H1" s="136" t="n"/>
      <c r="I1" s="136" t="n"/>
      <c r="J1" s="144" t="n"/>
    </row>
    <row r="2">
      <c r="A2" s="139" t="n"/>
      <c r="J2" s="125" t="n"/>
    </row>
    <row r="3">
      <c r="A3" s="120" t="n"/>
      <c r="J3" s="125" t="n"/>
    </row>
    <row r="4">
      <c r="A4" s="51" t="inlineStr">
        <is>
          <t>Anjos:</t>
        </is>
      </c>
      <c r="D4" s="142" t="n"/>
      <c r="G4" s="50" t="inlineStr">
        <is>
          <t>Anjo Guardião:</t>
        </is>
      </c>
      <c r="J4" s="125" t="n"/>
    </row>
    <row r="5">
      <c r="A5" s="148" t="inlineStr">
        <is>
          <t>Bruno Cunha</t>
        </is>
      </c>
      <c r="G5" s="183" t="inlineStr">
        <is>
          <t>Ericka</t>
        </is>
      </c>
      <c r="J5" s="125" t="n"/>
    </row>
    <row r="6">
      <c r="A6" s="148" t="inlineStr">
        <is>
          <t>Suellen</t>
        </is>
      </c>
      <c r="G6" s="177" t="n"/>
      <c r="J6" s="125" t="n"/>
    </row>
    <row r="7">
      <c r="A7" s="161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46" t="n"/>
    </row>
    <row r="8">
      <c r="A8" s="53" t="inlineStr">
        <is>
          <t>Ficha ✏️</t>
        </is>
      </c>
      <c r="B8" s="17" t="inlineStr">
        <is>
          <t>Nome</t>
        </is>
      </c>
      <c r="C8" s="17" t="inlineStr">
        <is>
          <t>Peso</t>
        </is>
      </c>
      <c r="D8" s="17" t="inlineStr">
        <is>
          <t>Alt</t>
        </is>
      </c>
      <c r="E8" s="17" t="inlineStr">
        <is>
          <t>Idade</t>
        </is>
      </c>
      <c r="F8" s="17" t="inlineStr">
        <is>
          <t>Cidade</t>
        </is>
      </c>
      <c r="G8" s="17" t="inlineStr">
        <is>
          <t>Camiseta</t>
        </is>
      </c>
      <c r="H8" s="17" t="inlineStr">
        <is>
          <t>Celular</t>
        </is>
      </c>
      <c r="I8" s="17" t="inlineStr">
        <is>
          <t>⚠️ Alerta / Observações</t>
        </is>
      </c>
      <c r="J8" s="54" t="inlineStr">
        <is>
          <t>Sexo</t>
        </is>
      </c>
    </row>
    <row r="9" ht="18" customHeight="1" s="121">
      <c r="A9" s="57" t="n">
        <v>4</v>
      </c>
      <c r="B9" s="7">
        <f>IFERROR(VLOOKUP(A9,'Cadastro Geral Campistas'!$A:$R,2,0),"")</f>
        <v/>
      </c>
      <c r="C9" s="6">
        <f>IFERROR(VLOOKUP(A9,'Cadastro Geral Campistas'!$A:$R,5,0),"")</f>
        <v/>
      </c>
      <c r="D9" s="6">
        <f>IFERROR(VLOOKUP(A9,'Cadastro Geral Campistas'!$A:$R,6,0),"")</f>
        <v/>
      </c>
      <c r="E9" s="6">
        <f>IFERROR(VLOOKUP(A9,'Cadastro Geral Campistas'!$A:$R,7,0),"")</f>
        <v/>
      </c>
      <c r="F9" s="7">
        <f>IFERROR(VLOOKUP(A9,'Cadastro Geral Campistas'!$A:$R,9,0),"")</f>
        <v/>
      </c>
      <c r="G9" s="6">
        <f>IFERROR(VLOOKUP(A9,'Cadastro Geral Campistas'!$A:$R,3,0),"")</f>
        <v/>
      </c>
      <c r="H9" s="7">
        <f>IFERROR(VLOOKUP(A9,'Cadastro Geral Campistas'!$A:$R,8,0),"")</f>
        <v/>
      </c>
      <c r="I9" s="101">
        <f>IF(AND(IFERROR(VLOOKUP(A9,'Cadastro Geral Campistas'!$A:$R,18,0),0)&gt;0,COUNTIF($A$9:$A$24,IFERROR(VLOOKUP(A9,'Cadastro Geral Campistas'!$A:$R,18,0),0))&gt;0),"⚠️ CONFLITO! Cônjuge na mesma tribo: "&amp;IFERROR(VLOOKUP(IFERROR(VLOOKUP(A9,'Cadastro Geral Campistas'!$A:$R,18,0),0),'Cadastro Geral Campistas'!$A:$R,2,""),""),TRIM(IF(AND(IFERROR(VLOOKUP(A9,'Cadastro Geral Campistas'!$A:$R,10,0),"")&lt;&gt;"",LOWER(TRIM(IFERROR(VLOOKUP(A9,'Cadastro Geral Campistas'!$A:$R,10,0),"")))&lt;&gt;"não",LOWER(TRIM(IFERROR(VLOOKUP(A9,'Cadastro Geral Campistas'!$A:$R,10,0),"")))&lt;&gt;"nao",LOWER(TRIM(IFERROR(VLOOKUP(A9,'Cadastro Geral Campistas'!$A:$R,10,0),"")))&lt;&gt;"0"),IFERROR(VLOOKUP(A9,'Cadastro Geral Campistas'!$A:$R,10,0),"")&amp;IF(AND(IFERROR(VLOOKUP(A9,'Cadastro Geral Campistas'!$A:$R,15,0),"")&lt;&gt;"",LOWER(TRIM(IFERROR(VLOOKUP(A9,'Cadastro Geral Campistas'!$A:$R,15,0),"")))&lt;&gt;"não",LOWER(TRIM(IFERROR(VLOOKUP(A9,'Cadastro Geral Campistas'!$A:$R,15,0),"")))&lt;&gt;"nao",LOWER(TRIM(IFERROR(VLOOKUP(A9,'Cadastro Geral Campistas'!$A:$R,15,0),"")))&lt;&gt;"0")," | Alergia: "&amp;IFERROR(VLOOKUP(A9,'Cadastro Geral Campistas'!$A:$R,15,0),""),""),IF(AND(IFERROR(VLOOKUP(A9,'Cadastro Geral Campistas'!$A:$R,15,0),"")&lt;&gt;"",LOWER(TRIM(IFERROR(VLOOKUP(A9,'Cadastro Geral Campistas'!$A:$R,15,0),"")))&lt;&gt;"não",LOWER(TRIM(IFERROR(VLOOKUP(A9,'Cadastro Geral Campistas'!$A:$R,15,0),"")))&lt;&gt;"nao",LOWER(TRIM(IFERROR(VLOOKUP(A9,'Cadastro Geral Campistas'!$A:$R,15,0),"")))&lt;&gt;"0"),"Alergia: "&amp;IFERROR(VLOOKUP(A9,'Cadastro Geral Campistas'!$A:$R,15,0),""),""))))</f>
        <v/>
      </c>
      <c r="J9" s="58">
        <f>IFERROR(VLOOKUP(A9,'Cadastro Geral Campistas'!$A:$R,4,0),"")</f>
        <v/>
      </c>
    </row>
    <row r="10" ht="18" customHeight="1" s="121">
      <c r="A10" s="59" t="n">
        <v>6</v>
      </c>
      <c r="B10" s="18">
        <f>IFERROR(VLOOKUP(A10,'Cadastro Geral Campistas'!$A:$R,2,0),"")</f>
        <v/>
      </c>
      <c r="C10" s="19">
        <f>IFERROR(VLOOKUP(A10,'Cadastro Geral Campistas'!$A:$R,5,0),"")</f>
        <v/>
      </c>
      <c r="D10" s="19">
        <f>IFERROR(VLOOKUP(A10,'Cadastro Geral Campistas'!$A:$R,6,0),"")</f>
        <v/>
      </c>
      <c r="E10" s="19">
        <f>IFERROR(VLOOKUP(A10,'Cadastro Geral Campistas'!$A:$R,7,0),"")</f>
        <v/>
      </c>
      <c r="F10" s="18">
        <f>IFERROR(VLOOKUP(A10,'Cadastro Geral Campistas'!$A:$R,9,0),"")</f>
        <v/>
      </c>
      <c r="G10" s="19">
        <f>IFERROR(VLOOKUP(A10,'Cadastro Geral Campistas'!$A:$R,3,0),"")</f>
        <v/>
      </c>
      <c r="H10" s="18">
        <f>IFERROR(VLOOKUP(A10,'Cadastro Geral Campistas'!$A:$R,8,0),"")</f>
        <v/>
      </c>
      <c r="I10" s="102">
        <f>IF(AND(IFERROR(VLOOKUP(A10,'Cadastro Geral Campistas'!$A:$R,18,0),0)&gt;0,COUNTIF($A$9:$A$24,IFERROR(VLOOKUP(A10,'Cadastro Geral Campistas'!$A:$R,18,0),0))&gt;0),"⚠️ CONFLITO! Cônjuge na mesma tribo: "&amp;IFERROR(VLOOKUP(IFERROR(VLOOKUP(A10,'Cadastro Geral Campistas'!$A:$R,18,0),0),'Cadastro Geral Campistas'!$A:$R,2,""),""),TRIM(IF(AND(IFERROR(VLOOKUP(A10,'Cadastro Geral Campistas'!$A:$R,10,0),"")&lt;&gt;"",LOWER(TRIM(IFERROR(VLOOKUP(A10,'Cadastro Geral Campistas'!$A:$R,10,0),"")))&lt;&gt;"não",LOWER(TRIM(IFERROR(VLOOKUP(A10,'Cadastro Geral Campistas'!$A:$R,10,0),"")))&lt;&gt;"nao",LOWER(TRIM(IFERROR(VLOOKUP(A10,'Cadastro Geral Campistas'!$A:$R,10,0),"")))&lt;&gt;"0"),IFERROR(VLOOKUP(A10,'Cadastro Geral Campistas'!$A:$R,10,0),"")&amp;IF(AND(IFERROR(VLOOKUP(A10,'Cadastro Geral Campistas'!$A:$R,15,0),"")&lt;&gt;"",LOWER(TRIM(IFERROR(VLOOKUP(A10,'Cadastro Geral Campistas'!$A:$R,15,0),"")))&lt;&gt;"não",LOWER(TRIM(IFERROR(VLOOKUP(A10,'Cadastro Geral Campistas'!$A:$R,15,0),"")))&lt;&gt;"nao",LOWER(TRIM(IFERROR(VLOOKUP(A10,'Cadastro Geral Campistas'!$A:$R,15,0),"")))&lt;&gt;"0")," | Alergia: "&amp;IFERROR(VLOOKUP(A10,'Cadastro Geral Campistas'!$A:$R,15,0),""),""),IF(AND(IFERROR(VLOOKUP(A10,'Cadastro Geral Campistas'!$A:$R,15,0),"")&lt;&gt;"",LOWER(TRIM(IFERROR(VLOOKUP(A10,'Cadastro Geral Campistas'!$A:$R,15,0),"")))&lt;&gt;"não",LOWER(TRIM(IFERROR(VLOOKUP(A10,'Cadastro Geral Campistas'!$A:$R,15,0),"")))&lt;&gt;"nao",LOWER(TRIM(IFERROR(VLOOKUP(A10,'Cadastro Geral Campistas'!$A:$R,15,0),"")))&lt;&gt;"0"),"Alergia: "&amp;IFERROR(VLOOKUP(A10,'Cadastro Geral Campistas'!$A:$R,15,0),""),""))))</f>
        <v/>
      </c>
      <c r="J10" s="60">
        <f>IFERROR(VLOOKUP(A10,'Cadastro Geral Campistas'!$A:$R,4,0),"")</f>
        <v/>
      </c>
    </row>
    <row r="11" ht="18" customHeight="1" s="121">
      <c r="A11" s="57" t="n">
        <v>50</v>
      </c>
      <c r="B11" s="7">
        <f>IFERROR(VLOOKUP(A11,'Cadastro Geral Campistas'!$A:$R,2,0),"")</f>
        <v/>
      </c>
      <c r="C11" s="6">
        <f>IFERROR(VLOOKUP(A11,'Cadastro Geral Campistas'!$A:$R,5,0),"")</f>
        <v/>
      </c>
      <c r="D11" s="6">
        <f>IFERROR(VLOOKUP(A11,'Cadastro Geral Campistas'!$A:$R,6,0),"")</f>
        <v/>
      </c>
      <c r="E11" s="6">
        <f>IFERROR(VLOOKUP(A11,'Cadastro Geral Campistas'!$A:$R,7,0),"")</f>
        <v/>
      </c>
      <c r="F11" s="7">
        <f>IFERROR(VLOOKUP(A11,'Cadastro Geral Campistas'!$A:$R,9,0),"")</f>
        <v/>
      </c>
      <c r="G11" s="6">
        <f>IFERROR(VLOOKUP(A11,'Cadastro Geral Campistas'!$A:$R,3,0),"")</f>
        <v/>
      </c>
      <c r="H11" s="7">
        <f>IFERROR(VLOOKUP(A11,'Cadastro Geral Campistas'!$A:$R,8,0),"")</f>
        <v/>
      </c>
      <c r="I11" s="101">
        <f>IF(AND(IFERROR(VLOOKUP(A11,'Cadastro Geral Campistas'!$A:$R,18,0),0)&gt;0,COUNTIF($A$9:$A$24,IFERROR(VLOOKUP(A11,'Cadastro Geral Campistas'!$A:$R,18,0),0))&gt;0),"⚠️ CONFLITO! Cônjuge na mesma tribo: "&amp;IFERROR(VLOOKUP(IFERROR(VLOOKUP(A11,'Cadastro Geral Campistas'!$A:$R,18,0),0),'Cadastro Geral Campistas'!$A:$R,2,""),""),TRIM(IF(AND(IFERROR(VLOOKUP(A11,'Cadastro Geral Campistas'!$A:$R,10,0),"")&lt;&gt;"",LOWER(TRIM(IFERROR(VLOOKUP(A11,'Cadastro Geral Campistas'!$A:$R,10,0),"")))&lt;&gt;"não",LOWER(TRIM(IFERROR(VLOOKUP(A11,'Cadastro Geral Campistas'!$A:$R,10,0),"")))&lt;&gt;"nao",LOWER(TRIM(IFERROR(VLOOKUP(A11,'Cadastro Geral Campistas'!$A:$R,10,0),"")))&lt;&gt;"0"),IFERROR(VLOOKUP(A11,'Cadastro Geral Campistas'!$A:$R,10,0),"")&amp;IF(AND(IFERROR(VLOOKUP(A11,'Cadastro Geral Campistas'!$A:$R,15,0),"")&lt;&gt;"",LOWER(TRIM(IFERROR(VLOOKUP(A11,'Cadastro Geral Campistas'!$A:$R,15,0),"")))&lt;&gt;"não",LOWER(TRIM(IFERROR(VLOOKUP(A11,'Cadastro Geral Campistas'!$A:$R,15,0),"")))&lt;&gt;"nao",LOWER(TRIM(IFERROR(VLOOKUP(A11,'Cadastro Geral Campistas'!$A:$R,15,0),"")))&lt;&gt;"0")," | Alergia: "&amp;IFERROR(VLOOKUP(A11,'Cadastro Geral Campistas'!$A:$R,15,0),""),""),IF(AND(IFERROR(VLOOKUP(A11,'Cadastro Geral Campistas'!$A:$R,15,0),"")&lt;&gt;"",LOWER(TRIM(IFERROR(VLOOKUP(A11,'Cadastro Geral Campistas'!$A:$R,15,0),"")))&lt;&gt;"não",LOWER(TRIM(IFERROR(VLOOKUP(A11,'Cadastro Geral Campistas'!$A:$R,15,0),"")))&lt;&gt;"nao",LOWER(TRIM(IFERROR(VLOOKUP(A11,'Cadastro Geral Campistas'!$A:$R,15,0),"")))&lt;&gt;"0"),"Alergia: "&amp;IFERROR(VLOOKUP(A11,'Cadastro Geral Campistas'!$A:$R,15,0),""),""))))</f>
        <v/>
      </c>
      <c r="J11" s="58">
        <f>IFERROR(VLOOKUP(A11,'Cadastro Geral Campistas'!$A:$R,4,0),"")</f>
        <v/>
      </c>
    </row>
    <row r="12" ht="18" customHeight="1" s="121">
      <c r="A12" s="59" t="n">
        <v>79</v>
      </c>
      <c r="B12" s="18">
        <f>IFERROR(VLOOKUP(A12,'Cadastro Geral Campistas'!$A:$R,2,0),"")</f>
        <v/>
      </c>
      <c r="C12" s="19">
        <f>IFERROR(VLOOKUP(A12,'Cadastro Geral Campistas'!$A:$R,5,0),"")</f>
        <v/>
      </c>
      <c r="D12" s="19">
        <f>IFERROR(VLOOKUP(A12,'Cadastro Geral Campistas'!$A:$R,6,0),"")</f>
        <v/>
      </c>
      <c r="E12" s="19">
        <f>IFERROR(VLOOKUP(A12,'Cadastro Geral Campistas'!$A:$R,7,0),"")</f>
        <v/>
      </c>
      <c r="F12" s="18">
        <f>IFERROR(VLOOKUP(A12,'Cadastro Geral Campistas'!$A:$R,9,0),"")</f>
        <v/>
      </c>
      <c r="G12" s="19">
        <f>IFERROR(VLOOKUP(A12,'Cadastro Geral Campistas'!$A:$R,3,0),"")</f>
        <v/>
      </c>
      <c r="H12" s="18">
        <f>IFERROR(VLOOKUP(A12,'Cadastro Geral Campistas'!$A:$R,8,0),"")</f>
        <v/>
      </c>
      <c r="I12" s="102">
        <f>IF(AND(IFERROR(VLOOKUP(A12,'Cadastro Geral Campistas'!$A:$R,18,0),0)&gt;0,COUNTIF($A$9:$A$24,IFERROR(VLOOKUP(A12,'Cadastro Geral Campistas'!$A:$R,18,0),0))&gt;0),"⚠️ CONFLITO! Cônjuge na mesma tribo: "&amp;IFERROR(VLOOKUP(IFERROR(VLOOKUP(A12,'Cadastro Geral Campistas'!$A:$R,18,0),0),'Cadastro Geral Campistas'!$A:$R,2,""),""),TRIM(IF(AND(IFERROR(VLOOKUP(A12,'Cadastro Geral Campistas'!$A:$R,10,0),"")&lt;&gt;"",LOWER(TRIM(IFERROR(VLOOKUP(A12,'Cadastro Geral Campistas'!$A:$R,10,0),"")))&lt;&gt;"não",LOWER(TRIM(IFERROR(VLOOKUP(A12,'Cadastro Geral Campistas'!$A:$R,10,0),"")))&lt;&gt;"nao",LOWER(TRIM(IFERROR(VLOOKUP(A12,'Cadastro Geral Campistas'!$A:$R,10,0),"")))&lt;&gt;"0"),IFERROR(VLOOKUP(A12,'Cadastro Geral Campistas'!$A:$R,10,0),"")&amp;IF(AND(IFERROR(VLOOKUP(A12,'Cadastro Geral Campistas'!$A:$R,15,0),"")&lt;&gt;"",LOWER(TRIM(IFERROR(VLOOKUP(A12,'Cadastro Geral Campistas'!$A:$R,15,0),"")))&lt;&gt;"não",LOWER(TRIM(IFERROR(VLOOKUP(A12,'Cadastro Geral Campistas'!$A:$R,15,0),"")))&lt;&gt;"nao",LOWER(TRIM(IFERROR(VLOOKUP(A12,'Cadastro Geral Campistas'!$A:$R,15,0),"")))&lt;&gt;"0")," | Alergia: "&amp;IFERROR(VLOOKUP(A12,'Cadastro Geral Campistas'!$A:$R,15,0),""),""),IF(AND(IFERROR(VLOOKUP(A12,'Cadastro Geral Campistas'!$A:$R,15,0),"")&lt;&gt;"",LOWER(TRIM(IFERROR(VLOOKUP(A12,'Cadastro Geral Campistas'!$A:$R,15,0),"")))&lt;&gt;"não",LOWER(TRIM(IFERROR(VLOOKUP(A12,'Cadastro Geral Campistas'!$A:$R,15,0),"")))&lt;&gt;"nao",LOWER(TRIM(IFERROR(VLOOKUP(A12,'Cadastro Geral Campistas'!$A:$R,15,0),"")))&lt;&gt;"0"),"Alergia: "&amp;IFERROR(VLOOKUP(A12,'Cadastro Geral Campistas'!$A:$R,15,0),""),""))))</f>
        <v/>
      </c>
      <c r="J12" s="60">
        <f>IFERROR(VLOOKUP(A12,'Cadastro Geral Campistas'!$A:$R,4,0),"")</f>
        <v/>
      </c>
    </row>
    <row r="13" ht="18" customHeight="1" s="121">
      <c r="A13" s="57" t="n">
        <v>101</v>
      </c>
      <c r="B13" s="7">
        <f>IFERROR(VLOOKUP(A13,'Cadastro Geral Campistas'!$A:$R,2,0),"")</f>
        <v/>
      </c>
      <c r="C13" s="6">
        <f>IFERROR(VLOOKUP(A13,'Cadastro Geral Campistas'!$A:$R,5,0),"")</f>
        <v/>
      </c>
      <c r="D13" s="6">
        <f>IFERROR(VLOOKUP(A13,'Cadastro Geral Campistas'!$A:$R,6,0),"")</f>
        <v/>
      </c>
      <c r="E13" s="6">
        <f>IFERROR(VLOOKUP(A13,'Cadastro Geral Campistas'!$A:$R,7,0),"")</f>
        <v/>
      </c>
      <c r="F13" s="7">
        <f>IFERROR(VLOOKUP(A13,'Cadastro Geral Campistas'!$A:$R,9,0),"")</f>
        <v/>
      </c>
      <c r="G13" s="6">
        <f>IFERROR(VLOOKUP(A13,'Cadastro Geral Campistas'!$A:$R,3,0),"")</f>
        <v/>
      </c>
      <c r="H13" s="7">
        <f>IFERROR(VLOOKUP(A13,'Cadastro Geral Campistas'!$A:$R,8,0),"")</f>
        <v/>
      </c>
      <c r="I13" s="101">
        <f>IF(AND(IFERROR(VLOOKUP(A13,'Cadastro Geral Campistas'!$A:$R,18,0),0)&gt;0,COUNTIF($A$9:$A$24,IFERROR(VLOOKUP(A13,'Cadastro Geral Campistas'!$A:$R,18,0),0))&gt;0),"⚠️ CONFLITO! Cônjuge na mesma tribo: "&amp;IFERROR(VLOOKUP(IFERROR(VLOOKUP(A13,'Cadastro Geral Campistas'!$A:$R,18,0),0),'Cadastro Geral Campistas'!$A:$R,2,""),""),TRIM(IF(AND(IFERROR(VLOOKUP(A13,'Cadastro Geral Campistas'!$A:$R,10,0),"")&lt;&gt;"",LOWER(TRIM(IFERROR(VLOOKUP(A13,'Cadastro Geral Campistas'!$A:$R,10,0),"")))&lt;&gt;"não",LOWER(TRIM(IFERROR(VLOOKUP(A13,'Cadastro Geral Campistas'!$A:$R,10,0),"")))&lt;&gt;"nao",LOWER(TRIM(IFERROR(VLOOKUP(A13,'Cadastro Geral Campistas'!$A:$R,10,0),"")))&lt;&gt;"0"),IFERROR(VLOOKUP(A13,'Cadastro Geral Campistas'!$A:$R,10,0),"")&amp;IF(AND(IFERROR(VLOOKUP(A13,'Cadastro Geral Campistas'!$A:$R,15,0),"")&lt;&gt;"",LOWER(TRIM(IFERROR(VLOOKUP(A13,'Cadastro Geral Campistas'!$A:$R,15,0),"")))&lt;&gt;"não",LOWER(TRIM(IFERROR(VLOOKUP(A13,'Cadastro Geral Campistas'!$A:$R,15,0),"")))&lt;&gt;"nao",LOWER(TRIM(IFERROR(VLOOKUP(A13,'Cadastro Geral Campistas'!$A:$R,15,0),"")))&lt;&gt;"0")," | Alergia: "&amp;IFERROR(VLOOKUP(A13,'Cadastro Geral Campistas'!$A:$R,15,0),""),""),IF(AND(IFERROR(VLOOKUP(A13,'Cadastro Geral Campistas'!$A:$R,15,0),"")&lt;&gt;"",LOWER(TRIM(IFERROR(VLOOKUP(A13,'Cadastro Geral Campistas'!$A:$R,15,0),"")))&lt;&gt;"não",LOWER(TRIM(IFERROR(VLOOKUP(A13,'Cadastro Geral Campistas'!$A:$R,15,0),"")))&lt;&gt;"nao",LOWER(TRIM(IFERROR(VLOOKUP(A13,'Cadastro Geral Campistas'!$A:$R,15,0),"")))&lt;&gt;"0"),"Alergia: "&amp;IFERROR(VLOOKUP(A13,'Cadastro Geral Campistas'!$A:$R,15,0),""),""))))</f>
        <v/>
      </c>
      <c r="J13" s="58">
        <f>IFERROR(VLOOKUP(A13,'Cadastro Geral Campistas'!$A:$R,4,0),"")</f>
        <v/>
      </c>
    </row>
    <row r="14" ht="18" customHeight="1" s="121">
      <c r="A14" s="59" t="n">
        <v>102</v>
      </c>
      <c r="B14" s="18">
        <f>IFERROR(VLOOKUP(A14,'Cadastro Geral Campistas'!$A:$R,2,0),"")</f>
        <v/>
      </c>
      <c r="C14" s="19">
        <f>IFERROR(VLOOKUP(A14,'Cadastro Geral Campistas'!$A:$R,5,0),"")</f>
        <v/>
      </c>
      <c r="D14" s="19">
        <f>IFERROR(VLOOKUP(A14,'Cadastro Geral Campistas'!$A:$R,6,0),"")</f>
        <v/>
      </c>
      <c r="E14" s="19">
        <f>IFERROR(VLOOKUP(A14,'Cadastro Geral Campistas'!$A:$R,7,0),"")</f>
        <v/>
      </c>
      <c r="F14" s="18">
        <f>IFERROR(VLOOKUP(A14,'Cadastro Geral Campistas'!$A:$R,9,0),"")</f>
        <v/>
      </c>
      <c r="G14" s="19">
        <f>IFERROR(VLOOKUP(A14,'Cadastro Geral Campistas'!$A:$R,3,0),"")</f>
        <v/>
      </c>
      <c r="H14" s="18">
        <f>IFERROR(VLOOKUP(A14,'Cadastro Geral Campistas'!$A:$R,8,0),"")</f>
        <v/>
      </c>
      <c r="I14" s="102">
        <f>IF(AND(IFERROR(VLOOKUP(A14,'Cadastro Geral Campistas'!$A:$R,18,0),0)&gt;0,COUNTIF($A$9:$A$24,IFERROR(VLOOKUP(A14,'Cadastro Geral Campistas'!$A:$R,18,0),0))&gt;0),"⚠️ CONFLITO! Cônjuge na mesma tribo: "&amp;IFERROR(VLOOKUP(IFERROR(VLOOKUP(A14,'Cadastro Geral Campistas'!$A:$R,18,0),0),'Cadastro Geral Campistas'!$A:$R,2,""),""),TRIM(IF(AND(IFERROR(VLOOKUP(A14,'Cadastro Geral Campistas'!$A:$R,10,0),"")&lt;&gt;"",LOWER(TRIM(IFERROR(VLOOKUP(A14,'Cadastro Geral Campistas'!$A:$R,10,0),"")))&lt;&gt;"não",LOWER(TRIM(IFERROR(VLOOKUP(A14,'Cadastro Geral Campistas'!$A:$R,10,0),"")))&lt;&gt;"nao",LOWER(TRIM(IFERROR(VLOOKUP(A14,'Cadastro Geral Campistas'!$A:$R,10,0),"")))&lt;&gt;"0"),IFERROR(VLOOKUP(A14,'Cadastro Geral Campistas'!$A:$R,10,0),"")&amp;IF(AND(IFERROR(VLOOKUP(A14,'Cadastro Geral Campistas'!$A:$R,15,0),"")&lt;&gt;"",LOWER(TRIM(IFERROR(VLOOKUP(A14,'Cadastro Geral Campistas'!$A:$R,15,0),"")))&lt;&gt;"não",LOWER(TRIM(IFERROR(VLOOKUP(A14,'Cadastro Geral Campistas'!$A:$R,15,0),"")))&lt;&gt;"nao",LOWER(TRIM(IFERROR(VLOOKUP(A14,'Cadastro Geral Campistas'!$A:$R,15,0),"")))&lt;&gt;"0")," | Alergia: "&amp;IFERROR(VLOOKUP(A14,'Cadastro Geral Campistas'!$A:$R,15,0),""),""),IF(AND(IFERROR(VLOOKUP(A14,'Cadastro Geral Campistas'!$A:$R,15,0),"")&lt;&gt;"",LOWER(TRIM(IFERROR(VLOOKUP(A14,'Cadastro Geral Campistas'!$A:$R,15,0),"")))&lt;&gt;"não",LOWER(TRIM(IFERROR(VLOOKUP(A14,'Cadastro Geral Campistas'!$A:$R,15,0),"")))&lt;&gt;"nao",LOWER(TRIM(IFERROR(VLOOKUP(A14,'Cadastro Geral Campistas'!$A:$R,15,0),"")))&lt;&gt;"0"),"Alergia: "&amp;IFERROR(VLOOKUP(A14,'Cadastro Geral Campistas'!$A:$R,15,0),""),""))))</f>
        <v/>
      </c>
      <c r="J14" s="60">
        <f>IFERROR(VLOOKUP(A14,'Cadastro Geral Campistas'!$A:$R,4,0),"")</f>
        <v/>
      </c>
    </row>
    <row r="15" ht="18" customHeight="1" s="121">
      <c r="A15" s="57" t="n">
        <v>106</v>
      </c>
      <c r="B15" s="7">
        <f>IFERROR(VLOOKUP(A15,'Cadastro Geral Campistas'!$A:$R,2,0),"")</f>
        <v/>
      </c>
      <c r="C15" s="6">
        <f>IFERROR(VLOOKUP(A15,'Cadastro Geral Campistas'!$A:$R,5,0),"")</f>
        <v/>
      </c>
      <c r="D15" s="6">
        <f>IFERROR(VLOOKUP(A15,'Cadastro Geral Campistas'!$A:$R,6,0),"")</f>
        <v/>
      </c>
      <c r="E15" s="6">
        <f>IFERROR(VLOOKUP(A15,'Cadastro Geral Campistas'!$A:$R,7,0),"")</f>
        <v/>
      </c>
      <c r="F15" s="7">
        <f>IFERROR(VLOOKUP(A15,'Cadastro Geral Campistas'!$A:$R,9,0),"")</f>
        <v/>
      </c>
      <c r="G15" s="6">
        <f>IFERROR(VLOOKUP(A15,'Cadastro Geral Campistas'!$A:$R,3,0),"")</f>
        <v/>
      </c>
      <c r="H15" s="7">
        <f>IFERROR(VLOOKUP(A15,'Cadastro Geral Campistas'!$A:$R,8,0),"")</f>
        <v/>
      </c>
      <c r="I15" s="101">
        <f>IF(AND(IFERROR(VLOOKUP(A15,'Cadastro Geral Campistas'!$A:$R,18,0),0)&gt;0,COUNTIF($A$9:$A$24,IFERROR(VLOOKUP(A15,'Cadastro Geral Campistas'!$A:$R,18,0),0))&gt;0),"⚠️ CONFLITO! Cônjuge na mesma tribo: "&amp;IFERROR(VLOOKUP(IFERROR(VLOOKUP(A15,'Cadastro Geral Campistas'!$A:$R,18,0),0),'Cadastro Geral Campistas'!$A:$R,2,""),""),TRIM(IF(AND(IFERROR(VLOOKUP(A15,'Cadastro Geral Campistas'!$A:$R,10,0),"")&lt;&gt;"",LOWER(TRIM(IFERROR(VLOOKUP(A15,'Cadastro Geral Campistas'!$A:$R,10,0),"")))&lt;&gt;"não",LOWER(TRIM(IFERROR(VLOOKUP(A15,'Cadastro Geral Campistas'!$A:$R,10,0),"")))&lt;&gt;"nao",LOWER(TRIM(IFERROR(VLOOKUP(A15,'Cadastro Geral Campistas'!$A:$R,10,0),"")))&lt;&gt;"0"),IFERROR(VLOOKUP(A15,'Cadastro Geral Campistas'!$A:$R,10,0),"")&amp;IF(AND(IFERROR(VLOOKUP(A15,'Cadastro Geral Campistas'!$A:$R,15,0),"")&lt;&gt;"",LOWER(TRIM(IFERROR(VLOOKUP(A15,'Cadastro Geral Campistas'!$A:$R,15,0),"")))&lt;&gt;"não",LOWER(TRIM(IFERROR(VLOOKUP(A15,'Cadastro Geral Campistas'!$A:$R,15,0),"")))&lt;&gt;"nao",LOWER(TRIM(IFERROR(VLOOKUP(A15,'Cadastro Geral Campistas'!$A:$R,15,0),"")))&lt;&gt;"0")," | Alergia: "&amp;IFERROR(VLOOKUP(A15,'Cadastro Geral Campistas'!$A:$R,15,0),""),""),IF(AND(IFERROR(VLOOKUP(A15,'Cadastro Geral Campistas'!$A:$R,15,0),"")&lt;&gt;"",LOWER(TRIM(IFERROR(VLOOKUP(A15,'Cadastro Geral Campistas'!$A:$R,15,0),"")))&lt;&gt;"não",LOWER(TRIM(IFERROR(VLOOKUP(A15,'Cadastro Geral Campistas'!$A:$R,15,0),"")))&lt;&gt;"nao",LOWER(TRIM(IFERROR(VLOOKUP(A15,'Cadastro Geral Campistas'!$A:$R,15,0),"")))&lt;&gt;"0"),"Alergia: "&amp;IFERROR(VLOOKUP(A15,'Cadastro Geral Campistas'!$A:$R,15,0),""),""))))</f>
        <v/>
      </c>
      <c r="J15" s="58">
        <f>IFERROR(VLOOKUP(A15,'Cadastro Geral Campistas'!$A:$R,4,0),"")</f>
        <v/>
      </c>
    </row>
    <row r="16" ht="18" customHeight="1" s="121">
      <c r="A16" s="59" t="n">
        <v>129</v>
      </c>
      <c r="B16" s="18">
        <f>IFERROR(VLOOKUP(A16,'Cadastro Geral Campistas'!$A:$R,2,0),"")</f>
        <v/>
      </c>
      <c r="C16" s="19">
        <f>IFERROR(VLOOKUP(A16,'Cadastro Geral Campistas'!$A:$R,5,0),"")</f>
        <v/>
      </c>
      <c r="D16" s="19">
        <f>IFERROR(VLOOKUP(A16,'Cadastro Geral Campistas'!$A:$R,6,0),"")</f>
        <v/>
      </c>
      <c r="E16" s="19">
        <f>IFERROR(VLOOKUP(A16,'Cadastro Geral Campistas'!$A:$R,7,0),"")</f>
        <v/>
      </c>
      <c r="F16" s="18">
        <f>IFERROR(VLOOKUP(A16,'Cadastro Geral Campistas'!$A:$R,9,0),"")</f>
        <v/>
      </c>
      <c r="G16" s="19">
        <f>IFERROR(VLOOKUP(A16,'Cadastro Geral Campistas'!$A:$R,3,0),"")</f>
        <v/>
      </c>
      <c r="H16" s="18">
        <f>IFERROR(VLOOKUP(A16,'Cadastro Geral Campistas'!$A:$R,8,0),"")</f>
        <v/>
      </c>
      <c r="I16" s="102">
        <f>IF(AND(IFERROR(VLOOKUP(A16,'Cadastro Geral Campistas'!$A:$R,18,0),0)&gt;0,COUNTIF($A$9:$A$24,IFERROR(VLOOKUP(A16,'Cadastro Geral Campistas'!$A:$R,18,0),0))&gt;0),"⚠️ CONFLITO! Cônjuge na mesma tribo: "&amp;IFERROR(VLOOKUP(IFERROR(VLOOKUP(A16,'Cadastro Geral Campistas'!$A:$R,18,0),0),'Cadastro Geral Campistas'!$A:$R,2,""),""),TRIM(IF(AND(IFERROR(VLOOKUP(A16,'Cadastro Geral Campistas'!$A:$R,10,0),"")&lt;&gt;"",LOWER(TRIM(IFERROR(VLOOKUP(A16,'Cadastro Geral Campistas'!$A:$R,10,0),"")))&lt;&gt;"não",LOWER(TRIM(IFERROR(VLOOKUP(A16,'Cadastro Geral Campistas'!$A:$R,10,0),"")))&lt;&gt;"nao",LOWER(TRIM(IFERROR(VLOOKUP(A16,'Cadastro Geral Campistas'!$A:$R,10,0),"")))&lt;&gt;"0"),IFERROR(VLOOKUP(A16,'Cadastro Geral Campistas'!$A:$R,10,0),"")&amp;IF(AND(IFERROR(VLOOKUP(A16,'Cadastro Geral Campistas'!$A:$R,15,0),"")&lt;&gt;"",LOWER(TRIM(IFERROR(VLOOKUP(A16,'Cadastro Geral Campistas'!$A:$R,15,0),"")))&lt;&gt;"não",LOWER(TRIM(IFERROR(VLOOKUP(A16,'Cadastro Geral Campistas'!$A:$R,15,0),"")))&lt;&gt;"nao",LOWER(TRIM(IFERROR(VLOOKUP(A16,'Cadastro Geral Campistas'!$A:$R,15,0),"")))&lt;&gt;"0")," | Alergia: "&amp;IFERROR(VLOOKUP(A16,'Cadastro Geral Campistas'!$A:$R,15,0),""),""),IF(AND(IFERROR(VLOOKUP(A16,'Cadastro Geral Campistas'!$A:$R,15,0),"")&lt;&gt;"",LOWER(TRIM(IFERROR(VLOOKUP(A16,'Cadastro Geral Campistas'!$A:$R,15,0),"")))&lt;&gt;"não",LOWER(TRIM(IFERROR(VLOOKUP(A16,'Cadastro Geral Campistas'!$A:$R,15,0),"")))&lt;&gt;"nao",LOWER(TRIM(IFERROR(VLOOKUP(A16,'Cadastro Geral Campistas'!$A:$R,15,0),"")))&lt;&gt;"0"),"Alergia: "&amp;IFERROR(VLOOKUP(A16,'Cadastro Geral Campistas'!$A:$R,15,0),""),""))))</f>
        <v/>
      </c>
      <c r="J16" s="60">
        <f>IFERROR(VLOOKUP(A16,'Cadastro Geral Campistas'!$A:$R,4,0),"")</f>
        <v/>
      </c>
    </row>
    <row r="17" ht="18" customHeight="1" s="121">
      <c r="A17" s="55" t="n">
        <v>19</v>
      </c>
      <c r="B17" s="3">
        <f>IFERROR(VLOOKUP(A17,'Cadastro Geral Campistas'!$A:$R,2,0),"")</f>
        <v/>
      </c>
      <c r="C17" s="2">
        <f>IFERROR(VLOOKUP(A17,'Cadastro Geral Campistas'!$A:$R,5,0),"")</f>
        <v/>
      </c>
      <c r="D17" s="2">
        <f>IFERROR(VLOOKUP(A17,'Cadastro Geral Campistas'!$A:$R,6,0),"")</f>
        <v/>
      </c>
      <c r="E17" s="2">
        <f>IFERROR(VLOOKUP(A17,'Cadastro Geral Campistas'!$A:$R,7,0),"")</f>
        <v/>
      </c>
      <c r="F17" s="3">
        <f>IFERROR(VLOOKUP(A17,'Cadastro Geral Campistas'!$A:$R,9,0),"")</f>
        <v/>
      </c>
      <c r="G17" s="2">
        <f>IFERROR(VLOOKUP(A17,'Cadastro Geral Campistas'!$A:$R,3,0),"")</f>
        <v/>
      </c>
      <c r="H17" s="3">
        <f>IFERROR(VLOOKUP(A17,'Cadastro Geral Campistas'!$A:$R,8,0),"")</f>
        <v/>
      </c>
      <c r="I17" s="103">
        <f>IF(AND(IFERROR(VLOOKUP(A17,'Cadastro Geral Campistas'!$A:$R,18,0),0)&gt;0,COUNTIF($A$9:$A$24,IFERROR(VLOOKUP(A17,'Cadastro Geral Campistas'!$A:$R,18,0),0))&gt;0),"⚠️ CONFLITO! Cônjuge na mesma tribo: "&amp;IFERROR(VLOOKUP(IFERROR(VLOOKUP(A17,'Cadastro Geral Campistas'!$A:$R,18,0),0),'Cadastro Geral Campistas'!$A:$R,2,""),""),TRIM(IF(AND(IFERROR(VLOOKUP(A17,'Cadastro Geral Campistas'!$A:$R,10,0),"")&lt;&gt;"",LOWER(TRIM(IFERROR(VLOOKUP(A17,'Cadastro Geral Campistas'!$A:$R,10,0),"")))&lt;&gt;"não",LOWER(TRIM(IFERROR(VLOOKUP(A17,'Cadastro Geral Campistas'!$A:$R,10,0),"")))&lt;&gt;"nao",LOWER(TRIM(IFERROR(VLOOKUP(A17,'Cadastro Geral Campistas'!$A:$R,10,0),"")))&lt;&gt;"0"),IFERROR(VLOOKUP(A17,'Cadastro Geral Campistas'!$A:$R,10,0),"")&amp;IF(AND(IFERROR(VLOOKUP(A17,'Cadastro Geral Campistas'!$A:$R,15,0),"")&lt;&gt;"",LOWER(TRIM(IFERROR(VLOOKUP(A17,'Cadastro Geral Campistas'!$A:$R,15,0),"")))&lt;&gt;"não",LOWER(TRIM(IFERROR(VLOOKUP(A17,'Cadastro Geral Campistas'!$A:$R,15,0),"")))&lt;&gt;"nao",LOWER(TRIM(IFERROR(VLOOKUP(A17,'Cadastro Geral Campistas'!$A:$R,15,0),"")))&lt;&gt;"0")," | Alergia: "&amp;IFERROR(VLOOKUP(A17,'Cadastro Geral Campistas'!$A:$R,15,0),""),""),IF(AND(IFERROR(VLOOKUP(A17,'Cadastro Geral Campistas'!$A:$R,15,0),"")&lt;&gt;"",LOWER(TRIM(IFERROR(VLOOKUP(A17,'Cadastro Geral Campistas'!$A:$R,15,0),"")))&lt;&gt;"não",LOWER(TRIM(IFERROR(VLOOKUP(A17,'Cadastro Geral Campistas'!$A:$R,15,0),"")))&lt;&gt;"nao",LOWER(TRIM(IFERROR(VLOOKUP(A17,'Cadastro Geral Campistas'!$A:$R,15,0),"")))&lt;&gt;"0"),"Alergia: "&amp;IFERROR(VLOOKUP(A17,'Cadastro Geral Campistas'!$A:$R,15,0),""),""))))</f>
        <v/>
      </c>
      <c r="J17" s="56">
        <f>IFERROR(VLOOKUP(A17,'Cadastro Geral Campistas'!$A:$R,4,0),"")</f>
        <v/>
      </c>
    </row>
    <row r="18" ht="18" customHeight="1" s="121">
      <c r="A18" s="59" t="n">
        <v>27</v>
      </c>
      <c r="B18" s="18">
        <f>IFERROR(VLOOKUP(A18,'Cadastro Geral Campistas'!$A:$R,2,0),"")</f>
        <v/>
      </c>
      <c r="C18" s="19">
        <f>IFERROR(VLOOKUP(A18,'Cadastro Geral Campistas'!$A:$R,5,0),"")</f>
        <v/>
      </c>
      <c r="D18" s="19">
        <f>IFERROR(VLOOKUP(A18,'Cadastro Geral Campistas'!$A:$R,6,0),"")</f>
        <v/>
      </c>
      <c r="E18" s="19">
        <f>IFERROR(VLOOKUP(A18,'Cadastro Geral Campistas'!$A:$R,7,0),"")</f>
        <v/>
      </c>
      <c r="F18" s="18">
        <f>IFERROR(VLOOKUP(A18,'Cadastro Geral Campistas'!$A:$R,9,0),"")</f>
        <v/>
      </c>
      <c r="G18" s="19">
        <f>IFERROR(VLOOKUP(A18,'Cadastro Geral Campistas'!$A:$R,3,0),"")</f>
        <v/>
      </c>
      <c r="H18" s="18">
        <f>IFERROR(VLOOKUP(A18,'Cadastro Geral Campistas'!$A:$R,8,0),"")</f>
        <v/>
      </c>
      <c r="I18" s="102">
        <f>IF(AND(IFERROR(VLOOKUP(A18,'Cadastro Geral Campistas'!$A:$R,18,0),0)&gt;0,COUNTIF($A$9:$A$24,IFERROR(VLOOKUP(A18,'Cadastro Geral Campistas'!$A:$R,18,0),0))&gt;0),"⚠️ CONFLITO! Cônjuge na mesma tribo: "&amp;IFERROR(VLOOKUP(IFERROR(VLOOKUP(A18,'Cadastro Geral Campistas'!$A:$R,18,0),0),'Cadastro Geral Campistas'!$A:$R,2,""),""),TRIM(IF(AND(IFERROR(VLOOKUP(A18,'Cadastro Geral Campistas'!$A:$R,10,0),"")&lt;&gt;"",LOWER(TRIM(IFERROR(VLOOKUP(A18,'Cadastro Geral Campistas'!$A:$R,10,0),"")))&lt;&gt;"não",LOWER(TRIM(IFERROR(VLOOKUP(A18,'Cadastro Geral Campistas'!$A:$R,10,0),"")))&lt;&gt;"nao",LOWER(TRIM(IFERROR(VLOOKUP(A18,'Cadastro Geral Campistas'!$A:$R,10,0),"")))&lt;&gt;"0"),IFERROR(VLOOKUP(A18,'Cadastro Geral Campistas'!$A:$R,10,0),"")&amp;IF(AND(IFERROR(VLOOKUP(A18,'Cadastro Geral Campistas'!$A:$R,15,0),"")&lt;&gt;"",LOWER(TRIM(IFERROR(VLOOKUP(A18,'Cadastro Geral Campistas'!$A:$R,15,0),"")))&lt;&gt;"não",LOWER(TRIM(IFERROR(VLOOKUP(A18,'Cadastro Geral Campistas'!$A:$R,15,0),"")))&lt;&gt;"nao",LOWER(TRIM(IFERROR(VLOOKUP(A18,'Cadastro Geral Campistas'!$A:$R,15,0),"")))&lt;&gt;"0")," | Alergia: "&amp;IFERROR(VLOOKUP(A18,'Cadastro Geral Campistas'!$A:$R,15,0),""),""),IF(AND(IFERROR(VLOOKUP(A18,'Cadastro Geral Campistas'!$A:$R,15,0),"")&lt;&gt;"",LOWER(TRIM(IFERROR(VLOOKUP(A18,'Cadastro Geral Campistas'!$A:$R,15,0),"")))&lt;&gt;"não",LOWER(TRIM(IFERROR(VLOOKUP(A18,'Cadastro Geral Campistas'!$A:$R,15,0),"")))&lt;&gt;"nao",LOWER(TRIM(IFERROR(VLOOKUP(A18,'Cadastro Geral Campistas'!$A:$R,15,0),"")))&lt;&gt;"0"),"Alergia: "&amp;IFERROR(VLOOKUP(A18,'Cadastro Geral Campistas'!$A:$R,15,0),""),""))))</f>
        <v/>
      </c>
      <c r="J18" s="60">
        <f>IFERROR(VLOOKUP(A18,'Cadastro Geral Campistas'!$A:$R,4,0),"")</f>
        <v/>
      </c>
    </row>
    <row r="19" ht="18" customHeight="1" s="121">
      <c r="A19" s="57" t="n">
        <v>63</v>
      </c>
      <c r="B19" s="7">
        <f>IFERROR(VLOOKUP(A19,'Cadastro Geral Campistas'!$A:$R,2,0),"")</f>
        <v/>
      </c>
      <c r="C19" s="6">
        <f>IFERROR(VLOOKUP(A19,'Cadastro Geral Campistas'!$A:$R,5,0),"")</f>
        <v/>
      </c>
      <c r="D19" s="6">
        <f>IFERROR(VLOOKUP(A19,'Cadastro Geral Campistas'!$A:$R,6,0),"")</f>
        <v/>
      </c>
      <c r="E19" s="6">
        <f>IFERROR(VLOOKUP(A19,'Cadastro Geral Campistas'!$A:$R,7,0),"")</f>
        <v/>
      </c>
      <c r="F19" s="7">
        <f>IFERROR(VLOOKUP(A19,'Cadastro Geral Campistas'!$A:$R,9,0),"")</f>
        <v/>
      </c>
      <c r="G19" s="6">
        <f>IFERROR(VLOOKUP(A19,'Cadastro Geral Campistas'!$A:$R,3,0),"")</f>
        <v/>
      </c>
      <c r="H19" s="7">
        <f>IFERROR(VLOOKUP(A19,'Cadastro Geral Campistas'!$A:$R,8,0),"")</f>
        <v/>
      </c>
      <c r="I19" s="101">
        <f>IF(AND(IFERROR(VLOOKUP(A19,'Cadastro Geral Campistas'!$A:$R,18,0),0)&gt;0,COUNTIF($A$9:$A$24,IFERROR(VLOOKUP(A19,'Cadastro Geral Campistas'!$A:$R,18,0),0))&gt;0),"⚠️ CONFLITO! Cônjuge na mesma tribo: "&amp;IFERROR(VLOOKUP(IFERROR(VLOOKUP(A19,'Cadastro Geral Campistas'!$A:$R,18,0),0),'Cadastro Geral Campistas'!$A:$R,2,""),""),TRIM(IF(AND(IFERROR(VLOOKUP(A19,'Cadastro Geral Campistas'!$A:$R,10,0),"")&lt;&gt;"",LOWER(TRIM(IFERROR(VLOOKUP(A19,'Cadastro Geral Campistas'!$A:$R,10,0),"")))&lt;&gt;"não",LOWER(TRIM(IFERROR(VLOOKUP(A19,'Cadastro Geral Campistas'!$A:$R,10,0),"")))&lt;&gt;"nao",LOWER(TRIM(IFERROR(VLOOKUP(A19,'Cadastro Geral Campistas'!$A:$R,10,0),"")))&lt;&gt;"0"),IFERROR(VLOOKUP(A19,'Cadastro Geral Campistas'!$A:$R,10,0),"")&amp;IF(AND(IFERROR(VLOOKUP(A19,'Cadastro Geral Campistas'!$A:$R,15,0),"")&lt;&gt;"",LOWER(TRIM(IFERROR(VLOOKUP(A19,'Cadastro Geral Campistas'!$A:$R,15,0),"")))&lt;&gt;"não",LOWER(TRIM(IFERROR(VLOOKUP(A19,'Cadastro Geral Campistas'!$A:$R,15,0),"")))&lt;&gt;"nao",LOWER(TRIM(IFERROR(VLOOKUP(A19,'Cadastro Geral Campistas'!$A:$R,15,0),"")))&lt;&gt;"0")," | Alergia: "&amp;IFERROR(VLOOKUP(A19,'Cadastro Geral Campistas'!$A:$R,15,0),""),""),IF(AND(IFERROR(VLOOKUP(A19,'Cadastro Geral Campistas'!$A:$R,15,0),"")&lt;&gt;"",LOWER(TRIM(IFERROR(VLOOKUP(A19,'Cadastro Geral Campistas'!$A:$R,15,0),"")))&lt;&gt;"não",LOWER(TRIM(IFERROR(VLOOKUP(A19,'Cadastro Geral Campistas'!$A:$R,15,0),"")))&lt;&gt;"nao",LOWER(TRIM(IFERROR(VLOOKUP(A19,'Cadastro Geral Campistas'!$A:$R,15,0),"")))&lt;&gt;"0"),"Alergia: "&amp;IFERROR(VLOOKUP(A19,'Cadastro Geral Campistas'!$A:$R,15,0),""),""))))</f>
        <v/>
      </c>
      <c r="J19" s="58">
        <f>IFERROR(VLOOKUP(A19,'Cadastro Geral Campistas'!$A:$R,4,0),"")</f>
        <v/>
      </c>
    </row>
    <row r="20" ht="18" customHeight="1" s="121">
      <c r="A20" s="59" t="n">
        <v>78</v>
      </c>
      <c r="B20" s="18">
        <f>IFERROR(VLOOKUP(A20,'Cadastro Geral Campistas'!$A:$R,2,0),"")</f>
        <v/>
      </c>
      <c r="C20" s="19">
        <f>IFERROR(VLOOKUP(A20,'Cadastro Geral Campistas'!$A:$R,5,0),"")</f>
        <v/>
      </c>
      <c r="D20" s="19">
        <f>IFERROR(VLOOKUP(A20,'Cadastro Geral Campistas'!$A:$R,6,0),"")</f>
        <v/>
      </c>
      <c r="E20" s="19">
        <f>IFERROR(VLOOKUP(A20,'Cadastro Geral Campistas'!$A:$R,7,0),"")</f>
        <v/>
      </c>
      <c r="F20" s="18">
        <f>IFERROR(VLOOKUP(A20,'Cadastro Geral Campistas'!$A:$R,9,0),"")</f>
        <v/>
      </c>
      <c r="G20" s="19">
        <f>IFERROR(VLOOKUP(A20,'Cadastro Geral Campistas'!$A:$R,3,0),"")</f>
        <v/>
      </c>
      <c r="H20" s="18">
        <f>IFERROR(VLOOKUP(A20,'Cadastro Geral Campistas'!$A:$R,8,0),"")</f>
        <v/>
      </c>
      <c r="I20" s="102">
        <f>IF(AND(IFERROR(VLOOKUP(A20,'Cadastro Geral Campistas'!$A:$R,18,0),0)&gt;0,COUNTIF($A$9:$A$24,IFERROR(VLOOKUP(A20,'Cadastro Geral Campistas'!$A:$R,18,0),0))&gt;0),"⚠️ CONFLITO! Cônjuge na mesma tribo: "&amp;IFERROR(VLOOKUP(IFERROR(VLOOKUP(A20,'Cadastro Geral Campistas'!$A:$R,18,0),0),'Cadastro Geral Campistas'!$A:$R,2,""),""),TRIM(IF(AND(IFERROR(VLOOKUP(A20,'Cadastro Geral Campistas'!$A:$R,10,0),"")&lt;&gt;"",LOWER(TRIM(IFERROR(VLOOKUP(A20,'Cadastro Geral Campistas'!$A:$R,10,0),"")))&lt;&gt;"não",LOWER(TRIM(IFERROR(VLOOKUP(A20,'Cadastro Geral Campistas'!$A:$R,10,0),"")))&lt;&gt;"nao",LOWER(TRIM(IFERROR(VLOOKUP(A20,'Cadastro Geral Campistas'!$A:$R,10,0),"")))&lt;&gt;"0"),IFERROR(VLOOKUP(A20,'Cadastro Geral Campistas'!$A:$R,10,0),"")&amp;IF(AND(IFERROR(VLOOKUP(A20,'Cadastro Geral Campistas'!$A:$R,15,0),"")&lt;&gt;"",LOWER(TRIM(IFERROR(VLOOKUP(A20,'Cadastro Geral Campistas'!$A:$R,15,0),"")))&lt;&gt;"não",LOWER(TRIM(IFERROR(VLOOKUP(A20,'Cadastro Geral Campistas'!$A:$R,15,0),"")))&lt;&gt;"nao",LOWER(TRIM(IFERROR(VLOOKUP(A20,'Cadastro Geral Campistas'!$A:$R,15,0),"")))&lt;&gt;"0")," | Alergia: "&amp;IFERROR(VLOOKUP(A20,'Cadastro Geral Campistas'!$A:$R,15,0),""),""),IF(AND(IFERROR(VLOOKUP(A20,'Cadastro Geral Campistas'!$A:$R,15,0),"")&lt;&gt;"",LOWER(TRIM(IFERROR(VLOOKUP(A20,'Cadastro Geral Campistas'!$A:$R,15,0),"")))&lt;&gt;"não",LOWER(TRIM(IFERROR(VLOOKUP(A20,'Cadastro Geral Campistas'!$A:$R,15,0),"")))&lt;&gt;"nao",LOWER(TRIM(IFERROR(VLOOKUP(A20,'Cadastro Geral Campistas'!$A:$R,15,0),"")))&lt;&gt;"0"),"Alergia: "&amp;IFERROR(VLOOKUP(A20,'Cadastro Geral Campistas'!$A:$R,15,0),""),""))))</f>
        <v/>
      </c>
      <c r="J20" s="60">
        <f>IFERROR(VLOOKUP(A20,'Cadastro Geral Campistas'!$A:$R,4,0),"")</f>
        <v/>
      </c>
    </row>
    <row r="21" ht="18" customHeight="1" s="121">
      <c r="A21" s="57" t="n">
        <v>113</v>
      </c>
      <c r="B21" s="7">
        <f>IFERROR(VLOOKUP(A21,'Cadastro Geral Campistas'!$A:$R,2,0),"")</f>
        <v/>
      </c>
      <c r="C21" s="6">
        <f>IFERROR(VLOOKUP(A21,'Cadastro Geral Campistas'!$A:$R,5,0),"")</f>
        <v/>
      </c>
      <c r="D21" s="6">
        <f>IFERROR(VLOOKUP(A21,'Cadastro Geral Campistas'!$A:$R,6,0),"")</f>
        <v/>
      </c>
      <c r="E21" s="6">
        <f>IFERROR(VLOOKUP(A21,'Cadastro Geral Campistas'!$A:$R,7,0),"")</f>
        <v/>
      </c>
      <c r="F21" s="7">
        <f>IFERROR(VLOOKUP(A21,'Cadastro Geral Campistas'!$A:$R,9,0),"")</f>
        <v/>
      </c>
      <c r="G21" s="6">
        <f>IFERROR(VLOOKUP(A21,'Cadastro Geral Campistas'!$A:$R,3,0),"")</f>
        <v/>
      </c>
      <c r="H21" s="7">
        <f>IFERROR(VLOOKUP(A21,'Cadastro Geral Campistas'!$A:$R,8,0),"")</f>
        <v/>
      </c>
      <c r="I21" s="101">
        <f>IF(AND(IFERROR(VLOOKUP(A21,'Cadastro Geral Campistas'!$A:$R,18,0),0)&gt;0,COUNTIF($A$9:$A$24,IFERROR(VLOOKUP(A21,'Cadastro Geral Campistas'!$A:$R,18,0),0))&gt;0),"⚠️ CONFLITO! Cônjuge na mesma tribo: "&amp;IFERROR(VLOOKUP(IFERROR(VLOOKUP(A21,'Cadastro Geral Campistas'!$A:$R,18,0),0),'Cadastro Geral Campistas'!$A:$R,2,""),""),TRIM(IF(AND(IFERROR(VLOOKUP(A21,'Cadastro Geral Campistas'!$A:$R,10,0),"")&lt;&gt;"",LOWER(TRIM(IFERROR(VLOOKUP(A21,'Cadastro Geral Campistas'!$A:$R,10,0),"")))&lt;&gt;"não",LOWER(TRIM(IFERROR(VLOOKUP(A21,'Cadastro Geral Campistas'!$A:$R,10,0),"")))&lt;&gt;"nao",LOWER(TRIM(IFERROR(VLOOKUP(A21,'Cadastro Geral Campistas'!$A:$R,10,0),"")))&lt;&gt;"0"),IFERROR(VLOOKUP(A21,'Cadastro Geral Campistas'!$A:$R,10,0),"")&amp;IF(AND(IFERROR(VLOOKUP(A21,'Cadastro Geral Campistas'!$A:$R,15,0),"")&lt;&gt;"",LOWER(TRIM(IFERROR(VLOOKUP(A21,'Cadastro Geral Campistas'!$A:$R,15,0),"")))&lt;&gt;"não",LOWER(TRIM(IFERROR(VLOOKUP(A21,'Cadastro Geral Campistas'!$A:$R,15,0),"")))&lt;&gt;"nao",LOWER(TRIM(IFERROR(VLOOKUP(A21,'Cadastro Geral Campistas'!$A:$R,15,0),"")))&lt;&gt;"0")," | Alergia: "&amp;IFERROR(VLOOKUP(A21,'Cadastro Geral Campistas'!$A:$R,15,0),""),""),IF(AND(IFERROR(VLOOKUP(A21,'Cadastro Geral Campistas'!$A:$R,15,0),"")&lt;&gt;"",LOWER(TRIM(IFERROR(VLOOKUP(A21,'Cadastro Geral Campistas'!$A:$R,15,0),"")))&lt;&gt;"não",LOWER(TRIM(IFERROR(VLOOKUP(A21,'Cadastro Geral Campistas'!$A:$R,15,0),"")))&lt;&gt;"nao",LOWER(TRIM(IFERROR(VLOOKUP(A21,'Cadastro Geral Campistas'!$A:$R,15,0),"")))&lt;&gt;"0"),"Alergia: "&amp;IFERROR(VLOOKUP(A21,'Cadastro Geral Campistas'!$A:$R,15,0),""),""))))</f>
        <v/>
      </c>
      <c r="J21" s="58">
        <f>IFERROR(VLOOKUP(A21,'Cadastro Geral Campistas'!$A:$R,4,0),"")</f>
        <v/>
      </c>
    </row>
    <row r="22" ht="18" customHeight="1" s="121">
      <c r="A22" s="59" t="n">
        <v>116</v>
      </c>
      <c r="B22" s="18">
        <f>IFERROR(VLOOKUP(A22,'Cadastro Geral Campistas'!$A:$R,2,0),"")</f>
        <v/>
      </c>
      <c r="C22" s="19">
        <f>IFERROR(VLOOKUP(A22,'Cadastro Geral Campistas'!$A:$R,5,0),"")</f>
        <v/>
      </c>
      <c r="D22" s="19">
        <f>IFERROR(VLOOKUP(A22,'Cadastro Geral Campistas'!$A:$R,6,0),"")</f>
        <v/>
      </c>
      <c r="E22" s="19">
        <f>IFERROR(VLOOKUP(A22,'Cadastro Geral Campistas'!$A:$R,7,0),"")</f>
        <v/>
      </c>
      <c r="F22" s="18">
        <f>IFERROR(VLOOKUP(A22,'Cadastro Geral Campistas'!$A:$R,9,0),"")</f>
        <v/>
      </c>
      <c r="G22" s="19">
        <f>IFERROR(VLOOKUP(A22,'Cadastro Geral Campistas'!$A:$R,3,0),"")</f>
        <v/>
      </c>
      <c r="H22" s="18">
        <f>IFERROR(VLOOKUP(A22,'Cadastro Geral Campistas'!$A:$R,8,0),"")</f>
        <v/>
      </c>
      <c r="I22" s="102">
        <f>IF(AND(IFERROR(VLOOKUP(A22,'Cadastro Geral Campistas'!$A:$R,18,0),0)&gt;0,COUNTIF($A$9:$A$24,IFERROR(VLOOKUP(A22,'Cadastro Geral Campistas'!$A:$R,18,0),0))&gt;0),"⚠️ CONFLITO! Cônjuge na mesma tribo: "&amp;IFERROR(VLOOKUP(IFERROR(VLOOKUP(A22,'Cadastro Geral Campistas'!$A:$R,18,0),0),'Cadastro Geral Campistas'!$A:$R,2,""),""),TRIM(IF(AND(IFERROR(VLOOKUP(A22,'Cadastro Geral Campistas'!$A:$R,10,0),"")&lt;&gt;"",LOWER(TRIM(IFERROR(VLOOKUP(A22,'Cadastro Geral Campistas'!$A:$R,10,0),"")))&lt;&gt;"não",LOWER(TRIM(IFERROR(VLOOKUP(A22,'Cadastro Geral Campistas'!$A:$R,10,0),"")))&lt;&gt;"nao",LOWER(TRIM(IFERROR(VLOOKUP(A22,'Cadastro Geral Campistas'!$A:$R,10,0),"")))&lt;&gt;"0"),IFERROR(VLOOKUP(A22,'Cadastro Geral Campistas'!$A:$R,10,0),"")&amp;IF(AND(IFERROR(VLOOKUP(A22,'Cadastro Geral Campistas'!$A:$R,15,0),"")&lt;&gt;"",LOWER(TRIM(IFERROR(VLOOKUP(A22,'Cadastro Geral Campistas'!$A:$R,15,0),"")))&lt;&gt;"não",LOWER(TRIM(IFERROR(VLOOKUP(A22,'Cadastro Geral Campistas'!$A:$R,15,0),"")))&lt;&gt;"nao",LOWER(TRIM(IFERROR(VLOOKUP(A22,'Cadastro Geral Campistas'!$A:$R,15,0),"")))&lt;&gt;"0")," | Alergia: "&amp;IFERROR(VLOOKUP(A22,'Cadastro Geral Campistas'!$A:$R,15,0),""),""),IF(AND(IFERROR(VLOOKUP(A22,'Cadastro Geral Campistas'!$A:$R,15,0),"")&lt;&gt;"",LOWER(TRIM(IFERROR(VLOOKUP(A22,'Cadastro Geral Campistas'!$A:$R,15,0),"")))&lt;&gt;"não",LOWER(TRIM(IFERROR(VLOOKUP(A22,'Cadastro Geral Campistas'!$A:$R,15,0),"")))&lt;&gt;"nao",LOWER(TRIM(IFERROR(VLOOKUP(A22,'Cadastro Geral Campistas'!$A:$R,15,0),"")))&lt;&gt;"0"),"Alergia: "&amp;IFERROR(VLOOKUP(A22,'Cadastro Geral Campistas'!$A:$R,15,0),""),""))))</f>
        <v/>
      </c>
      <c r="J22" s="60">
        <f>IFERROR(VLOOKUP(A22,'Cadastro Geral Campistas'!$A:$R,4,0),"")</f>
        <v/>
      </c>
    </row>
    <row r="23" ht="18" customHeight="1" s="121">
      <c r="A23" s="57" t="n">
        <v>121</v>
      </c>
      <c r="B23" s="7">
        <f>IFERROR(VLOOKUP(A23,'Cadastro Geral Campistas'!$A:$R,2,0),"")</f>
        <v/>
      </c>
      <c r="C23" s="6">
        <f>IFERROR(VLOOKUP(A23,'Cadastro Geral Campistas'!$A:$R,5,0),"")</f>
        <v/>
      </c>
      <c r="D23" s="6">
        <f>IFERROR(VLOOKUP(A23,'Cadastro Geral Campistas'!$A:$R,6,0),"")</f>
        <v/>
      </c>
      <c r="E23" s="6">
        <f>IFERROR(VLOOKUP(A23,'Cadastro Geral Campistas'!$A:$R,7,0),"")</f>
        <v/>
      </c>
      <c r="F23" s="7">
        <f>IFERROR(VLOOKUP(A23,'Cadastro Geral Campistas'!$A:$R,9,0),"")</f>
        <v/>
      </c>
      <c r="G23" s="6">
        <f>IFERROR(VLOOKUP(A23,'Cadastro Geral Campistas'!$A:$R,3,0),"")</f>
        <v/>
      </c>
      <c r="H23" s="7">
        <f>IFERROR(VLOOKUP(A23,'Cadastro Geral Campistas'!$A:$R,8,0),"")</f>
        <v/>
      </c>
      <c r="I23" s="101">
        <f>IF(AND(IFERROR(VLOOKUP(A23,'Cadastro Geral Campistas'!$A:$R,18,0),0)&gt;0,COUNTIF($A$9:$A$24,IFERROR(VLOOKUP(A23,'Cadastro Geral Campistas'!$A:$R,18,0),0))&gt;0),"⚠️ CONFLITO! Cônjuge na mesma tribo: "&amp;IFERROR(VLOOKUP(IFERROR(VLOOKUP(A23,'Cadastro Geral Campistas'!$A:$R,18,0),0),'Cadastro Geral Campistas'!$A:$R,2,""),""),TRIM(IF(AND(IFERROR(VLOOKUP(A23,'Cadastro Geral Campistas'!$A:$R,10,0),"")&lt;&gt;"",LOWER(TRIM(IFERROR(VLOOKUP(A23,'Cadastro Geral Campistas'!$A:$R,10,0),"")))&lt;&gt;"não",LOWER(TRIM(IFERROR(VLOOKUP(A23,'Cadastro Geral Campistas'!$A:$R,10,0),"")))&lt;&gt;"nao",LOWER(TRIM(IFERROR(VLOOKUP(A23,'Cadastro Geral Campistas'!$A:$R,10,0),"")))&lt;&gt;"0"),IFERROR(VLOOKUP(A23,'Cadastro Geral Campistas'!$A:$R,10,0),"")&amp;IF(AND(IFERROR(VLOOKUP(A23,'Cadastro Geral Campistas'!$A:$R,15,0),"")&lt;&gt;"",LOWER(TRIM(IFERROR(VLOOKUP(A23,'Cadastro Geral Campistas'!$A:$R,15,0),"")))&lt;&gt;"não",LOWER(TRIM(IFERROR(VLOOKUP(A23,'Cadastro Geral Campistas'!$A:$R,15,0),"")))&lt;&gt;"nao",LOWER(TRIM(IFERROR(VLOOKUP(A23,'Cadastro Geral Campistas'!$A:$R,15,0),"")))&lt;&gt;"0")," | Alergia: "&amp;IFERROR(VLOOKUP(A23,'Cadastro Geral Campistas'!$A:$R,15,0),""),""),IF(AND(IFERROR(VLOOKUP(A23,'Cadastro Geral Campistas'!$A:$R,15,0),"")&lt;&gt;"",LOWER(TRIM(IFERROR(VLOOKUP(A23,'Cadastro Geral Campistas'!$A:$R,15,0),"")))&lt;&gt;"não",LOWER(TRIM(IFERROR(VLOOKUP(A23,'Cadastro Geral Campistas'!$A:$R,15,0),"")))&lt;&gt;"nao",LOWER(TRIM(IFERROR(VLOOKUP(A23,'Cadastro Geral Campistas'!$A:$R,15,0),"")))&lt;&gt;"0"),"Alergia: "&amp;IFERROR(VLOOKUP(A23,'Cadastro Geral Campistas'!$A:$R,15,0),""),""))))</f>
        <v/>
      </c>
      <c r="J23" s="58">
        <f>IFERROR(VLOOKUP(A23,'Cadastro Geral Campistas'!$A:$R,4,0),"")</f>
        <v/>
      </c>
    </row>
    <row r="24" ht="18" customHeight="1" s="121">
      <c r="A24" s="59" t="n">
        <v>140</v>
      </c>
      <c r="B24" s="18">
        <f>IFERROR(VLOOKUP(A24,'Cadastro Geral Campistas'!$A:$R,2,0),"")</f>
        <v/>
      </c>
      <c r="C24" s="19">
        <f>IFERROR(VLOOKUP(A24,'Cadastro Geral Campistas'!$A:$R,5,0),"")</f>
        <v/>
      </c>
      <c r="D24" s="19">
        <f>IFERROR(VLOOKUP(A24,'Cadastro Geral Campistas'!$A:$R,6,0),"")</f>
        <v/>
      </c>
      <c r="E24" s="19">
        <f>IFERROR(VLOOKUP(A24,'Cadastro Geral Campistas'!$A:$R,7,0),"")</f>
        <v/>
      </c>
      <c r="F24" s="18">
        <f>IFERROR(VLOOKUP(A24,'Cadastro Geral Campistas'!$A:$R,9,0),"")</f>
        <v/>
      </c>
      <c r="G24" s="19">
        <f>IFERROR(VLOOKUP(A24,'Cadastro Geral Campistas'!$A:$R,3,0),"")</f>
        <v/>
      </c>
      <c r="H24" s="18">
        <f>IFERROR(VLOOKUP(A24,'Cadastro Geral Campistas'!$A:$R,8,0),"")</f>
        <v/>
      </c>
      <c r="I24" s="102">
        <f>IF(AND(IFERROR(VLOOKUP(A24,'Cadastro Geral Campistas'!$A:$R,18,0),0)&gt;0,COUNTIF($A$9:$A$24,IFERROR(VLOOKUP(A24,'Cadastro Geral Campistas'!$A:$R,18,0),0))&gt;0),"⚠️ CONFLITO! Cônjuge na mesma tribo: "&amp;IFERROR(VLOOKUP(IFERROR(VLOOKUP(A24,'Cadastro Geral Campistas'!$A:$R,18,0),0),'Cadastro Geral Campistas'!$A:$R,2,""),""),TRIM(IF(AND(IFERROR(VLOOKUP(A24,'Cadastro Geral Campistas'!$A:$R,10,0),"")&lt;&gt;"",LOWER(TRIM(IFERROR(VLOOKUP(A24,'Cadastro Geral Campistas'!$A:$R,10,0),"")))&lt;&gt;"não",LOWER(TRIM(IFERROR(VLOOKUP(A24,'Cadastro Geral Campistas'!$A:$R,10,0),"")))&lt;&gt;"nao",LOWER(TRIM(IFERROR(VLOOKUP(A24,'Cadastro Geral Campistas'!$A:$R,10,0),"")))&lt;&gt;"0"),IFERROR(VLOOKUP(A24,'Cadastro Geral Campistas'!$A:$R,10,0),"")&amp;IF(AND(IFERROR(VLOOKUP(A24,'Cadastro Geral Campistas'!$A:$R,15,0),"")&lt;&gt;"",LOWER(TRIM(IFERROR(VLOOKUP(A24,'Cadastro Geral Campistas'!$A:$R,15,0),"")))&lt;&gt;"não",LOWER(TRIM(IFERROR(VLOOKUP(A24,'Cadastro Geral Campistas'!$A:$R,15,0),"")))&lt;&gt;"nao",LOWER(TRIM(IFERROR(VLOOKUP(A24,'Cadastro Geral Campistas'!$A:$R,15,0),"")))&lt;&gt;"0")," | Alergia: "&amp;IFERROR(VLOOKUP(A24,'Cadastro Geral Campistas'!$A:$R,15,0),""),""),IF(AND(IFERROR(VLOOKUP(A24,'Cadastro Geral Campistas'!$A:$R,15,0),"")&lt;&gt;"",LOWER(TRIM(IFERROR(VLOOKUP(A24,'Cadastro Geral Campistas'!$A:$R,15,0),"")))&lt;&gt;"não",LOWER(TRIM(IFERROR(VLOOKUP(A24,'Cadastro Geral Campistas'!$A:$R,15,0),"")))&lt;&gt;"nao",LOWER(TRIM(IFERROR(VLOOKUP(A24,'Cadastro Geral Campistas'!$A:$R,15,0),"")))&lt;&gt;"0"),"Alergia: "&amp;IFERROR(VLOOKUP(A24,'Cadastro Geral Campistas'!$A:$R,15,0),""),""))))</f>
        <v/>
      </c>
      <c r="J24" s="60">
        <f>IFERROR(VLOOKUP(A24,'Cadastro Geral Campistas'!$A:$R,4,0),"")</f>
        <v/>
      </c>
    </row>
    <row r="25">
      <c r="A25" s="61" t="inlineStr">
        <is>
          <t>MÉDIA&gt;&gt;&gt;&gt;&gt;&gt;&gt;&gt;&gt;</t>
        </is>
      </c>
      <c r="B25" s="20" t="n"/>
      <c r="C25" s="20">
        <f>IFERROR(ROUND(AVERAGE(C9:C24),1),"")</f>
        <v/>
      </c>
      <c r="D25" s="20" t="n"/>
      <c r="E25" s="20">
        <f>IFERROR(ROUND(AVERAGE(E9:E24),1),"")</f>
        <v/>
      </c>
      <c r="F25" s="116" t="n"/>
      <c r="G25" s="202" t="n"/>
      <c r="H25" s="202" t="n"/>
      <c r="I25" s="126">
        <f>COUNTIF(J9:J24,"F")&amp;"  F    |    "&amp;COUNTIF(J9:J24,"M")&amp;"  M"</f>
        <v/>
      </c>
      <c r="J25" s="127" t="n"/>
    </row>
    <row r="26">
      <c r="A26" s="118" t="n"/>
      <c r="B26" s="119" t="n"/>
      <c r="C26" s="119" t="n"/>
      <c r="D26" s="119" t="n"/>
      <c r="E26" s="119" t="n"/>
      <c r="F26" s="119" t="n"/>
      <c r="G26" s="119" t="n"/>
      <c r="H26" s="119" t="n"/>
      <c r="I26" s="130" t="inlineStr">
        <is>
          <t>Sequências das dinâmicas:</t>
        </is>
      </c>
      <c r="J26" s="131" t="n"/>
    </row>
    <row r="27">
      <c r="A27" s="120" t="n"/>
      <c r="I27" s="124" t="inlineStr">
        <is>
          <t>1 - Casa do Pai</t>
        </is>
      </c>
      <c r="J27" s="125" t="n"/>
    </row>
    <row r="28">
      <c r="A28" s="120" t="n"/>
      <c r="I28" s="124" t="inlineStr">
        <is>
          <t>2 - Espelho</t>
        </is>
      </c>
      <c r="J28" s="125" t="n"/>
    </row>
    <row r="29">
      <c r="A29" s="120" t="n"/>
      <c r="I29" s="124" t="inlineStr">
        <is>
          <t>3 - Balanço</t>
        </is>
      </c>
      <c r="J29" s="125" t="n"/>
    </row>
    <row r="30">
      <c r="A30" s="120" t="n"/>
      <c r="I30" s="124" t="inlineStr">
        <is>
          <t>4 - Casa de Maria</t>
        </is>
      </c>
      <c r="J30" s="125" t="n"/>
    </row>
    <row r="31">
      <c r="A31" s="120" t="n"/>
      <c r="I31" s="124" t="inlineStr">
        <is>
          <t>5 - Salto da Fé</t>
        </is>
      </c>
      <c r="J31" s="125" t="n"/>
    </row>
    <row r="32">
      <c r="A32" s="120" t="n"/>
      <c r="I32" s="124" t="inlineStr">
        <is>
          <t>6 - Cabana</t>
        </is>
      </c>
      <c r="J32" s="125" t="n"/>
    </row>
    <row r="33">
      <c r="A33" s="120" t="n"/>
      <c r="I33" s="124" t="inlineStr">
        <is>
          <t>7 - Casa da Misericórdia</t>
        </is>
      </c>
      <c r="J33" s="125" t="n"/>
    </row>
    <row r="34">
      <c r="A34" s="120" t="n"/>
      <c r="I34" s="124" t="inlineStr">
        <is>
          <t>8 - Metrô</t>
        </is>
      </c>
      <c r="J34" s="125" t="n"/>
    </row>
    <row r="35" ht="14.7" customHeight="1" s="121" thickBot="1">
      <c r="A35" s="122" t="n"/>
      <c r="B35" s="123" t="n"/>
      <c r="C35" s="123" t="n"/>
      <c r="D35" s="123" t="n"/>
      <c r="E35" s="123" t="n"/>
      <c r="F35" s="123" t="n"/>
      <c r="G35" s="123" t="n"/>
      <c r="H35" s="123" t="n"/>
      <c r="I35" s="132" t="inlineStr">
        <is>
          <t>9 - Paredão</t>
        </is>
      </c>
      <c r="J35" s="133" t="n"/>
    </row>
    <row r="36" ht="28" customHeight="1" s="121">
      <c r="A36" s="171" t="inlineStr">
        <is>
          <t>Cor: Vermelha</t>
        </is>
      </c>
      <c r="B36" s="136" t="n"/>
      <c r="C36" s="136" t="n"/>
      <c r="D36" s="136" t="n"/>
      <c r="E36" s="156" t="inlineStr">
        <is>
          <t>Tribo Rubem</t>
        </is>
      </c>
      <c r="F36" s="136" t="n"/>
      <c r="G36" s="136" t="n"/>
      <c r="H36" s="136" t="n"/>
      <c r="I36" s="136" t="n"/>
      <c r="J36" s="144" t="n"/>
    </row>
    <row r="37">
      <c r="A37" s="139" t="n"/>
      <c r="J37" s="125" t="n"/>
    </row>
    <row r="38">
      <c r="A38" s="120" t="n"/>
      <c r="J38" s="125" t="n"/>
    </row>
    <row r="39">
      <c r="A39" s="51" t="inlineStr">
        <is>
          <t>Anjos:</t>
        </is>
      </c>
      <c r="D39" s="142" t="n"/>
      <c r="G39" s="50" t="inlineStr">
        <is>
          <t>Anjo Guardião:</t>
        </is>
      </c>
      <c r="J39" s="125" t="n"/>
    </row>
    <row r="40">
      <c r="A40" s="160" t="inlineStr">
        <is>
          <t>Helton</t>
        </is>
      </c>
      <c r="G40" s="134" t="inlineStr">
        <is>
          <t>Hugo Kisner</t>
        </is>
      </c>
      <c r="J40" s="125" t="n"/>
    </row>
    <row r="41">
      <c r="A41" s="160" t="inlineStr">
        <is>
          <t>Josiane Fiorini</t>
        </is>
      </c>
      <c r="G41" s="177" t="n"/>
      <c r="J41" s="125" t="n"/>
    </row>
    <row r="42">
      <c r="A42" s="161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46" t="n"/>
    </row>
    <row r="43">
      <c r="A43" s="63" t="inlineStr">
        <is>
          <t>Ficha ✏️</t>
        </is>
      </c>
      <c r="B43" s="21" t="inlineStr">
        <is>
          <t>Nome</t>
        </is>
      </c>
      <c r="C43" s="21" t="inlineStr">
        <is>
          <t>Peso</t>
        </is>
      </c>
      <c r="D43" s="21" t="inlineStr">
        <is>
          <t>Alt</t>
        </is>
      </c>
      <c r="E43" s="21" t="inlineStr">
        <is>
          <t>Idade</t>
        </is>
      </c>
      <c r="F43" s="21" t="inlineStr">
        <is>
          <t>Cidade</t>
        </is>
      </c>
      <c r="G43" s="21" t="inlineStr">
        <is>
          <t>Camiseta</t>
        </is>
      </c>
      <c r="H43" s="21" t="inlineStr">
        <is>
          <t>Celular</t>
        </is>
      </c>
      <c r="I43" s="21" t="inlineStr">
        <is>
          <t>⚠️ Alerta / Observações</t>
        </is>
      </c>
      <c r="J43" s="64" t="inlineStr">
        <is>
          <t>Sexo</t>
        </is>
      </c>
    </row>
    <row r="44" ht="18" customHeight="1" s="121">
      <c r="A44" s="57" t="n">
        <v>24</v>
      </c>
      <c r="B44" s="7">
        <f>IFERROR(VLOOKUP(A44,'Cadastro Geral Campistas'!$A:$R,2,0),"")</f>
        <v/>
      </c>
      <c r="C44" s="6">
        <f>IFERROR(VLOOKUP(A44,'Cadastro Geral Campistas'!$A:$R,5,0),"")</f>
        <v/>
      </c>
      <c r="D44" s="6">
        <f>IFERROR(VLOOKUP(A44,'Cadastro Geral Campistas'!$A:$R,6,0),"")</f>
        <v/>
      </c>
      <c r="E44" s="6">
        <f>IFERROR(VLOOKUP(A44,'Cadastro Geral Campistas'!$A:$R,7,0),"")</f>
        <v/>
      </c>
      <c r="F44" s="7">
        <f>IFERROR(VLOOKUP(A44,'Cadastro Geral Campistas'!$A:$R,9,0),"")</f>
        <v/>
      </c>
      <c r="G44" s="6">
        <f>IFERROR(VLOOKUP(A44,'Cadastro Geral Campistas'!$A:$R,3,0),"")</f>
        <v/>
      </c>
      <c r="H44" s="7">
        <f>IFERROR(VLOOKUP(A44,'Cadastro Geral Campistas'!$A:$R,8,0),"")</f>
        <v/>
      </c>
      <c r="I44" s="101">
        <f>IF(AND(IFERROR(VLOOKUP(A44,'Cadastro Geral Campistas'!$A:$R,18,0),0)&gt;0,COUNTIF($A$44:$A$59,IFERROR(VLOOKUP(A44,'Cadastro Geral Campistas'!$A:$R,18,0),0))&gt;0),"⚠️ CONFLITO! Cônjuge na mesma tribo: "&amp;IFERROR(VLOOKUP(IFERROR(VLOOKUP(A44,'Cadastro Geral Campistas'!$A:$R,18,0),0),'Cadastro Geral Campistas'!$A:$R,2,""),""),TRIM(IF(AND(IFERROR(VLOOKUP(A44,'Cadastro Geral Campistas'!$A:$R,10,0),"")&lt;&gt;"",LOWER(TRIM(IFERROR(VLOOKUP(A44,'Cadastro Geral Campistas'!$A:$R,10,0),"")))&lt;&gt;"não",LOWER(TRIM(IFERROR(VLOOKUP(A44,'Cadastro Geral Campistas'!$A:$R,10,0),"")))&lt;&gt;"nao",LOWER(TRIM(IFERROR(VLOOKUP(A44,'Cadastro Geral Campistas'!$A:$R,10,0),"")))&lt;&gt;"0"),IFERROR(VLOOKUP(A44,'Cadastro Geral Campistas'!$A:$R,10,0),"")&amp;IF(AND(IFERROR(VLOOKUP(A44,'Cadastro Geral Campistas'!$A:$R,15,0),"")&lt;&gt;"",LOWER(TRIM(IFERROR(VLOOKUP(A44,'Cadastro Geral Campistas'!$A:$R,15,0),"")))&lt;&gt;"não",LOWER(TRIM(IFERROR(VLOOKUP(A44,'Cadastro Geral Campistas'!$A:$R,15,0),"")))&lt;&gt;"nao",LOWER(TRIM(IFERROR(VLOOKUP(A44,'Cadastro Geral Campistas'!$A:$R,15,0),"")))&lt;&gt;"0")," | Alergia: "&amp;IFERROR(VLOOKUP(A44,'Cadastro Geral Campistas'!$A:$R,15,0),""),""),IF(AND(IFERROR(VLOOKUP(A44,'Cadastro Geral Campistas'!$A:$R,15,0),"")&lt;&gt;"",LOWER(TRIM(IFERROR(VLOOKUP(A44,'Cadastro Geral Campistas'!$A:$R,15,0),"")))&lt;&gt;"não",LOWER(TRIM(IFERROR(VLOOKUP(A44,'Cadastro Geral Campistas'!$A:$R,15,0),"")))&lt;&gt;"nao",LOWER(TRIM(IFERROR(VLOOKUP(A44,'Cadastro Geral Campistas'!$A:$R,15,0),"")))&lt;&gt;"0"),"Alergia: "&amp;IFERROR(VLOOKUP(A44,'Cadastro Geral Campistas'!$A:$R,15,0),""),""))))</f>
        <v/>
      </c>
      <c r="J44" s="58">
        <f>IFERROR(VLOOKUP(A44,'Cadastro Geral Campistas'!$A:$R,4,0),"")</f>
        <v/>
      </c>
    </row>
    <row r="45" ht="18" customHeight="1" s="121">
      <c r="A45" s="55" t="n">
        <v>32</v>
      </c>
      <c r="B45" s="3">
        <f>IFERROR(VLOOKUP(A45,'Cadastro Geral Campistas'!$A:$R,2,0),"")</f>
        <v/>
      </c>
      <c r="C45" s="2">
        <f>IFERROR(VLOOKUP(A45,'Cadastro Geral Campistas'!$A:$R,5,0),"")</f>
        <v/>
      </c>
      <c r="D45" s="2">
        <f>IFERROR(VLOOKUP(A45,'Cadastro Geral Campistas'!$A:$R,6,0),"")</f>
        <v/>
      </c>
      <c r="E45" s="2">
        <f>IFERROR(VLOOKUP(A45,'Cadastro Geral Campistas'!$A:$R,7,0),"")</f>
        <v/>
      </c>
      <c r="F45" s="3">
        <f>IFERROR(VLOOKUP(A45,'Cadastro Geral Campistas'!$A:$R,9,0),"")</f>
        <v/>
      </c>
      <c r="G45" s="2">
        <f>IFERROR(VLOOKUP(A45,'Cadastro Geral Campistas'!$A:$R,3,0),"")</f>
        <v/>
      </c>
      <c r="H45" s="3">
        <f>IFERROR(VLOOKUP(A45,'Cadastro Geral Campistas'!$A:$R,8,0),"")</f>
        <v/>
      </c>
      <c r="I45" s="103">
        <f>IF(AND(IFERROR(VLOOKUP(A45,'Cadastro Geral Campistas'!$A:$R,18,0),0)&gt;0,COUNTIF($A$44:$A$59,IFERROR(VLOOKUP(A45,'Cadastro Geral Campistas'!$A:$R,18,0),0))&gt;0),"⚠️ CONFLITO! Cônjuge na mesma tribo: "&amp;IFERROR(VLOOKUP(IFERROR(VLOOKUP(A45,'Cadastro Geral Campistas'!$A:$R,18,0),0),'Cadastro Geral Campistas'!$A:$R,2,""),""),TRIM(IF(AND(IFERROR(VLOOKUP(A45,'Cadastro Geral Campistas'!$A:$R,10,0),"")&lt;&gt;"",LOWER(TRIM(IFERROR(VLOOKUP(A45,'Cadastro Geral Campistas'!$A:$R,10,0),"")))&lt;&gt;"não",LOWER(TRIM(IFERROR(VLOOKUP(A45,'Cadastro Geral Campistas'!$A:$R,10,0),"")))&lt;&gt;"nao",LOWER(TRIM(IFERROR(VLOOKUP(A45,'Cadastro Geral Campistas'!$A:$R,10,0),"")))&lt;&gt;"0"),IFERROR(VLOOKUP(A45,'Cadastro Geral Campistas'!$A:$R,10,0),"")&amp;IF(AND(IFERROR(VLOOKUP(A45,'Cadastro Geral Campistas'!$A:$R,15,0),"")&lt;&gt;"",LOWER(TRIM(IFERROR(VLOOKUP(A45,'Cadastro Geral Campistas'!$A:$R,15,0),"")))&lt;&gt;"não",LOWER(TRIM(IFERROR(VLOOKUP(A45,'Cadastro Geral Campistas'!$A:$R,15,0),"")))&lt;&gt;"nao",LOWER(TRIM(IFERROR(VLOOKUP(A45,'Cadastro Geral Campistas'!$A:$R,15,0),"")))&lt;&gt;"0")," | Alergia: "&amp;IFERROR(VLOOKUP(A45,'Cadastro Geral Campistas'!$A:$R,15,0),""),""),IF(AND(IFERROR(VLOOKUP(A45,'Cadastro Geral Campistas'!$A:$R,15,0),"")&lt;&gt;"",LOWER(TRIM(IFERROR(VLOOKUP(A45,'Cadastro Geral Campistas'!$A:$R,15,0),"")))&lt;&gt;"não",LOWER(TRIM(IFERROR(VLOOKUP(A45,'Cadastro Geral Campistas'!$A:$R,15,0),"")))&lt;&gt;"nao",LOWER(TRIM(IFERROR(VLOOKUP(A45,'Cadastro Geral Campistas'!$A:$R,15,0),"")))&lt;&gt;"0"),"Alergia: "&amp;IFERROR(VLOOKUP(A45,'Cadastro Geral Campistas'!$A:$R,15,0),""),""))))</f>
        <v/>
      </c>
      <c r="J45" s="56">
        <f>IFERROR(VLOOKUP(A45,'Cadastro Geral Campistas'!$A:$R,4,0),"")</f>
        <v/>
      </c>
    </row>
    <row r="46" ht="18" customHeight="1" s="121">
      <c r="A46" s="57" t="n">
        <v>43</v>
      </c>
      <c r="B46" s="7">
        <f>IFERROR(VLOOKUP(A46,'Cadastro Geral Campistas'!$A:$R,2,0),"")</f>
        <v/>
      </c>
      <c r="C46" s="6">
        <f>IFERROR(VLOOKUP(A46,'Cadastro Geral Campistas'!$A:$R,5,0),"")</f>
        <v/>
      </c>
      <c r="D46" s="6">
        <f>IFERROR(VLOOKUP(A46,'Cadastro Geral Campistas'!$A:$R,6,0),"")</f>
        <v/>
      </c>
      <c r="E46" s="6">
        <f>IFERROR(VLOOKUP(A46,'Cadastro Geral Campistas'!$A:$R,7,0),"")</f>
        <v/>
      </c>
      <c r="F46" s="7">
        <f>IFERROR(VLOOKUP(A46,'Cadastro Geral Campistas'!$A:$R,9,0),"")</f>
        <v/>
      </c>
      <c r="G46" s="6">
        <f>IFERROR(VLOOKUP(A46,'Cadastro Geral Campistas'!$A:$R,3,0),"")</f>
        <v/>
      </c>
      <c r="H46" s="7">
        <f>IFERROR(VLOOKUP(A46,'Cadastro Geral Campistas'!$A:$R,8,0),"")</f>
        <v/>
      </c>
      <c r="I46" s="101">
        <f>IF(AND(IFERROR(VLOOKUP(A46,'Cadastro Geral Campistas'!$A:$R,18,0),0)&gt;0,COUNTIF($A$44:$A$59,IFERROR(VLOOKUP(A46,'Cadastro Geral Campistas'!$A:$R,18,0),0))&gt;0),"⚠️ CONFLITO! Cônjuge na mesma tribo: "&amp;IFERROR(VLOOKUP(IFERROR(VLOOKUP(A46,'Cadastro Geral Campistas'!$A:$R,18,0),0),'Cadastro Geral Campistas'!$A:$R,2,""),""),TRIM(IF(AND(IFERROR(VLOOKUP(A46,'Cadastro Geral Campistas'!$A:$R,10,0),"")&lt;&gt;"",LOWER(TRIM(IFERROR(VLOOKUP(A46,'Cadastro Geral Campistas'!$A:$R,10,0),"")))&lt;&gt;"não",LOWER(TRIM(IFERROR(VLOOKUP(A46,'Cadastro Geral Campistas'!$A:$R,10,0),"")))&lt;&gt;"nao",LOWER(TRIM(IFERROR(VLOOKUP(A46,'Cadastro Geral Campistas'!$A:$R,10,0),"")))&lt;&gt;"0"),IFERROR(VLOOKUP(A46,'Cadastro Geral Campistas'!$A:$R,10,0),"")&amp;IF(AND(IFERROR(VLOOKUP(A46,'Cadastro Geral Campistas'!$A:$R,15,0),"")&lt;&gt;"",LOWER(TRIM(IFERROR(VLOOKUP(A46,'Cadastro Geral Campistas'!$A:$R,15,0),"")))&lt;&gt;"não",LOWER(TRIM(IFERROR(VLOOKUP(A46,'Cadastro Geral Campistas'!$A:$R,15,0),"")))&lt;&gt;"nao",LOWER(TRIM(IFERROR(VLOOKUP(A46,'Cadastro Geral Campistas'!$A:$R,15,0),"")))&lt;&gt;"0")," | Alergia: "&amp;IFERROR(VLOOKUP(A46,'Cadastro Geral Campistas'!$A:$R,15,0),""),""),IF(AND(IFERROR(VLOOKUP(A46,'Cadastro Geral Campistas'!$A:$R,15,0),"")&lt;&gt;"",LOWER(TRIM(IFERROR(VLOOKUP(A46,'Cadastro Geral Campistas'!$A:$R,15,0),"")))&lt;&gt;"não",LOWER(TRIM(IFERROR(VLOOKUP(A46,'Cadastro Geral Campistas'!$A:$R,15,0),"")))&lt;&gt;"nao",LOWER(TRIM(IFERROR(VLOOKUP(A46,'Cadastro Geral Campistas'!$A:$R,15,0),"")))&lt;&gt;"0"),"Alergia: "&amp;IFERROR(VLOOKUP(A46,'Cadastro Geral Campistas'!$A:$R,15,0),""),""))))</f>
        <v/>
      </c>
      <c r="J46" s="58">
        <f>IFERROR(VLOOKUP(A46,'Cadastro Geral Campistas'!$A:$R,4,0),"")</f>
        <v/>
      </c>
    </row>
    <row r="47" ht="18" customHeight="1" s="121">
      <c r="A47" s="65" t="n">
        <v>73</v>
      </c>
      <c r="B47" s="22">
        <f>IFERROR(VLOOKUP(A47,'Cadastro Geral Campistas'!$A:$R,2,0),"")</f>
        <v/>
      </c>
      <c r="C47" s="23">
        <f>IFERROR(VLOOKUP(A47,'Cadastro Geral Campistas'!$A:$R,5,0),"")</f>
        <v/>
      </c>
      <c r="D47" s="23">
        <f>IFERROR(VLOOKUP(A47,'Cadastro Geral Campistas'!$A:$R,6,0),"")</f>
        <v/>
      </c>
      <c r="E47" s="23">
        <f>IFERROR(VLOOKUP(A47,'Cadastro Geral Campistas'!$A:$R,7,0),"")</f>
        <v/>
      </c>
      <c r="F47" s="22">
        <f>IFERROR(VLOOKUP(A47,'Cadastro Geral Campistas'!$A:$R,9,0),"")</f>
        <v/>
      </c>
      <c r="G47" s="23">
        <f>IFERROR(VLOOKUP(A47,'Cadastro Geral Campistas'!$A:$R,3,0),"")</f>
        <v/>
      </c>
      <c r="H47" s="22">
        <f>IFERROR(VLOOKUP(A47,'Cadastro Geral Campistas'!$A:$R,8,0),"")</f>
        <v/>
      </c>
      <c r="I47" s="106">
        <f>IF(AND(IFERROR(VLOOKUP(A47,'Cadastro Geral Campistas'!$A:$R,18,0),0)&gt;0,COUNTIF($A$44:$A$59,IFERROR(VLOOKUP(A47,'Cadastro Geral Campistas'!$A:$R,18,0),0))&gt;0),"⚠️ CONFLITO! Cônjuge na mesma tribo: "&amp;IFERROR(VLOOKUP(IFERROR(VLOOKUP(A47,'Cadastro Geral Campistas'!$A:$R,18,0),0),'Cadastro Geral Campistas'!$A:$R,2,""),""),TRIM(IF(AND(IFERROR(VLOOKUP(A47,'Cadastro Geral Campistas'!$A:$R,10,0),"")&lt;&gt;"",LOWER(TRIM(IFERROR(VLOOKUP(A47,'Cadastro Geral Campistas'!$A:$R,10,0),"")))&lt;&gt;"não",LOWER(TRIM(IFERROR(VLOOKUP(A47,'Cadastro Geral Campistas'!$A:$R,10,0),"")))&lt;&gt;"nao",LOWER(TRIM(IFERROR(VLOOKUP(A47,'Cadastro Geral Campistas'!$A:$R,10,0),"")))&lt;&gt;"0"),IFERROR(VLOOKUP(A47,'Cadastro Geral Campistas'!$A:$R,10,0),"")&amp;IF(AND(IFERROR(VLOOKUP(A47,'Cadastro Geral Campistas'!$A:$R,15,0),"")&lt;&gt;"",LOWER(TRIM(IFERROR(VLOOKUP(A47,'Cadastro Geral Campistas'!$A:$R,15,0),"")))&lt;&gt;"não",LOWER(TRIM(IFERROR(VLOOKUP(A47,'Cadastro Geral Campistas'!$A:$R,15,0),"")))&lt;&gt;"nao",LOWER(TRIM(IFERROR(VLOOKUP(A47,'Cadastro Geral Campistas'!$A:$R,15,0),"")))&lt;&gt;"0")," | Alergia: "&amp;IFERROR(VLOOKUP(A47,'Cadastro Geral Campistas'!$A:$R,15,0),""),""),IF(AND(IFERROR(VLOOKUP(A47,'Cadastro Geral Campistas'!$A:$R,15,0),"")&lt;&gt;"",LOWER(TRIM(IFERROR(VLOOKUP(A47,'Cadastro Geral Campistas'!$A:$R,15,0),"")))&lt;&gt;"não",LOWER(TRIM(IFERROR(VLOOKUP(A47,'Cadastro Geral Campistas'!$A:$R,15,0),"")))&lt;&gt;"nao",LOWER(TRIM(IFERROR(VLOOKUP(A47,'Cadastro Geral Campistas'!$A:$R,15,0),"")))&lt;&gt;"0"),"Alergia: "&amp;IFERROR(VLOOKUP(A47,'Cadastro Geral Campistas'!$A:$R,15,0),""),""))))</f>
        <v/>
      </c>
      <c r="J47" s="66">
        <f>IFERROR(VLOOKUP(A47,'Cadastro Geral Campistas'!$A:$R,4,0),"")</f>
        <v/>
      </c>
    </row>
    <row r="48" ht="18" customHeight="1" s="121">
      <c r="A48" s="57" t="n">
        <v>76</v>
      </c>
      <c r="B48" s="7">
        <f>IFERROR(VLOOKUP(A48,'Cadastro Geral Campistas'!$A:$R,2,0),"")</f>
        <v/>
      </c>
      <c r="C48" s="6">
        <f>IFERROR(VLOOKUP(A48,'Cadastro Geral Campistas'!$A:$R,5,0),"")</f>
        <v/>
      </c>
      <c r="D48" s="6">
        <f>IFERROR(VLOOKUP(A48,'Cadastro Geral Campistas'!$A:$R,6,0),"")</f>
        <v/>
      </c>
      <c r="E48" s="6">
        <f>IFERROR(VLOOKUP(A48,'Cadastro Geral Campistas'!$A:$R,7,0),"")</f>
        <v/>
      </c>
      <c r="F48" s="7">
        <f>IFERROR(VLOOKUP(A48,'Cadastro Geral Campistas'!$A:$R,9,0),"")</f>
        <v/>
      </c>
      <c r="G48" s="6">
        <f>IFERROR(VLOOKUP(A48,'Cadastro Geral Campistas'!$A:$R,3,0),"")</f>
        <v/>
      </c>
      <c r="H48" s="7">
        <f>IFERROR(VLOOKUP(A48,'Cadastro Geral Campistas'!$A:$R,8,0),"")</f>
        <v/>
      </c>
      <c r="I48" s="101">
        <f>IF(AND(IFERROR(VLOOKUP(A48,'Cadastro Geral Campistas'!$A:$R,18,0),0)&gt;0,COUNTIF($A$44:$A$59,IFERROR(VLOOKUP(A48,'Cadastro Geral Campistas'!$A:$R,18,0),0))&gt;0),"⚠️ CONFLITO! Cônjuge na mesma tribo: "&amp;IFERROR(VLOOKUP(IFERROR(VLOOKUP(A48,'Cadastro Geral Campistas'!$A:$R,18,0),0),'Cadastro Geral Campistas'!$A:$R,2,""),""),TRIM(IF(AND(IFERROR(VLOOKUP(A48,'Cadastro Geral Campistas'!$A:$R,10,0),"")&lt;&gt;"",LOWER(TRIM(IFERROR(VLOOKUP(A48,'Cadastro Geral Campistas'!$A:$R,10,0),"")))&lt;&gt;"não",LOWER(TRIM(IFERROR(VLOOKUP(A48,'Cadastro Geral Campistas'!$A:$R,10,0),"")))&lt;&gt;"nao",LOWER(TRIM(IFERROR(VLOOKUP(A48,'Cadastro Geral Campistas'!$A:$R,10,0),"")))&lt;&gt;"0"),IFERROR(VLOOKUP(A48,'Cadastro Geral Campistas'!$A:$R,10,0),"")&amp;IF(AND(IFERROR(VLOOKUP(A48,'Cadastro Geral Campistas'!$A:$R,15,0),"")&lt;&gt;"",LOWER(TRIM(IFERROR(VLOOKUP(A48,'Cadastro Geral Campistas'!$A:$R,15,0),"")))&lt;&gt;"não",LOWER(TRIM(IFERROR(VLOOKUP(A48,'Cadastro Geral Campistas'!$A:$R,15,0),"")))&lt;&gt;"nao",LOWER(TRIM(IFERROR(VLOOKUP(A48,'Cadastro Geral Campistas'!$A:$R,15,0),"")))&lt;&gt;"0")," | Alergia: "&amp;IFERROR(VLOOKUP(A48,'Cadastro Geral Campistas'!$A:$R,15,0),""),""),IF(AND(IFERROR(VLOOKUP(A48,'Cadastro Geral Campistas'!$A:$R,15,0),"")&lt;&gt;"",LOWER(TRIM(IFERROR(VLOOKUP(A48,'Cadastro Geral Campistas'!$A:$R,15,0),"")))&lt;&gt;"não",LOWER(TRIM(IFERROR(VLOOKUP(A48,'Cadastro Geral Campistas'!$A:$R,15,0),"")))&lt;&gt;"nao",LOWER(TRIM(IFERROR(VLOOKUP(A48,'Cadastro Geral Campistas'!$A:$R,15,0),"")))&lt;&gt;"0"),"Alergia: "&amp;IFERROR(VLOOKUP(A48,'Cadastro Geral Campistas'!$A:$R,15,0),""),""))))</f>
        <v/>
      </c>
      <c r="J48" s="58">
        <f>IFERROR(VLOOKUP(A48,'Cadastro Geral Campistas'!$A:$R,4,0),"")</f>
        <v/>
      </c>
    </row>
    <row r="49" ht="18" customHeight="1" s="121">
      <c r="A49" s="65" t="n">
        <v>80</v>
      </c>
      <c r="B49" s="22">
        <f>IFERROR(VLOOKUP(A49,'Cadastro Geral Campistas'!$A:$R,2,0),"")</f>
        <v/>
      </c>
      <c r="C49" s="23">
        <f>IFERROR(VLOOKUP(A49,'Cadastro Geral Campistas'!$A:$R,5,0),"")</f>
        <v/>
      </c>
      <c r="D49" s="23">
        <f>IFERROR(VLOOKUP(A49,'Cadastro Geral Campistas'!$A:$R,6,0),"")</f>
        <v/>
      </c>
      <c r="E49" s="23">
        <f>IFERROR(VLOOKUP(A49,'Cadastro Geral Campistas'!$A:$R,7,0),"")</f>
        <v/>
      </c>
      <c r="F49" s="22">
        <f>IFERROR(VLOOKUP(A49,'Cadastro Geral Campistas'!$A:$R,9,0),"")</f>
        <v/>
      </c>
      <c r="G49" s="23">
        <f>IFERROR(VLOOKUP(A49,'Cadastro Geral Campistas'!$A:$R,3,0),"")</f>
        <v/>
      </c>
      <c r="H49" s="22">
        <f>IFERROR(VLOOKUP(A49,'Cadastro Geral Campistas'!$A:$R,8,0),"")</f>
        <v/>
      </c>
      <c r="I49" s="106">
        <f>IF(AND(IFERROR(VLOOKUP(A49,'Cadastro Geral Campistas'!$A:$R,18,0),0)&gt;0,COUNTIF($A$44:$A$59,IFERROR(VLOOKUP(A49,'Cadastro Geral Campistas'!$A:$R,18,0),0))&gt;0),"⚠️ CONFLITO! Cônjuge na mesma tribo: "&amp;IFERROR(VLOOKUP(IFERROR(VLOOKUP(A49,'Cadastro Geral Campistas'!$A:$R,18,0),0),'Cadastro Geral Campistas'!$A:$R,2,""),""),TRIM(IF(AND(IFERROR(VLOOKUP(A49,'Cadastro Geral Campistas'!$A:$R,10,0),"")&lt;&gt;"",LOWER(TRIM(IFERROR(VLOOKUP(A49,'Cadastro Geral Campistas'!$A:$R,10,0),"")))&lt;&gt;"não",LOWER(TRIM(IFERROR(VLOOKUP(A49,'Cadastro Geral Campistas'!$A:$R,10,0),"")))&lt;&gt;"nao",LOWER(TRIM(IFERROR(VLOOKUP(A49,'Cadastro Geral Campistas'!$A:$R,10,0),"")))&lt;&gt;"0"),IFERROR(VLOOKUP(A49,'Cadastro Geral Campistas'!$A:$R,10,0),"")&amp;IF(AND(IFERROR(VLOOKUP(A49,'Cadastro Geral Campistas'!$A:$R,15,0),"")&lt;&gt;"",LOWER(TRIM(IFERROR(VLOOKUP(A49,'Cadastro Geral Campistas'!$A:$R,15,0),"")))&lt;&gt;"não",LOWER(TRIM(IFERROR(VLOOKUP(A49,'Cadastro Geral Campistas'!$A:$R,15,0),"")))&lt;&gt;"nao",LOWER(TRIM(IFERROR(VLOOKUP(A49,'Cadastro Geral Campistas'!$A:$R,15,0),"")))&lt;&gt;"0")," | Alergia: "&amp;IFERROR(VLOOKUP(A49,'Cadastro Geral Campistas'!$A:$R,15,0),""),""),IF(AND(IFERROR(VLOOKUP(A49,'Cadastro Geral Campistas'!$A:$R,15,0),"")&lt;&gt;"",LOWER(TRIM(IFERROR(VLOOKUP(A49,'Cadastro Geral Campistas'!$A:$R,15,0),"")))&lt;&gt;"não",LOWER(TRIM(IFERROR(VLOOKUP(A49,'Cadastro Geral Campistas'!$A:$R,15,0),"")))&lt;&gt;"nao",LOWER(TRIM(IFERROR(VLOOKUP(A49,'Cadastro Geral Campistas'!$A:$R,15,0),"")))&lt;&gt;"0"),"Alergia: "&amp;IFERROR(VLOOKUP(A49,'Cadastro Geral Campistas'!$A:$R,15,0),""),""))))</f>
        <v/>
      </c>
      <c r="J49" s="66">
        <f>IFERROR(VLOOKUP(A49,'Cadastro Geral Campistas'!$A:$R,4,0),"")</f>
        <v/>
      </c>
    </row>
    <row r="50" ht="18" customHeight="1" s="121">
      <c r="A50" s="57" t="n">
        <v>104</v>
      </c>
      <c r="B50" s="7">
        <f>IFERROR(VLOOKUP(A50,'Cadastro Geral Campistas'!$A:$R,2,0),"")</f>
        <v/>
      </c>
      <c r="C50" s="6">
        <f>IFERROR(VLOOKUP(A50,'Cadastro Geral Campistas'!$A:$R,5,0),"")</f>
        <v/>
      </c>
      <c r="D50" s="6">
        <f>IFERROR(VLOOKUP(A50,'Cadastro Geral Campistas'!$A:$R,6,0),"")</f>
        <v/>
      </c>
      <c r="E50" s="6">
        <f>IFERROR(VLOOKUP(A50,'Cadastro Geral Campistas'!$A:$R,7,0),"")</f>
        <v/>
      </c>
      <c r="F50" s="7">
        <f>IFERROR(VLOOKUP(A50,'Cadastro Geral Campistas'!$A:$R,9,0),"")</f>
        <v/>
      </c>
      <c r="G50" s="6">
        <f>IFERROR(VLOOKUP(A50,'Cadastro Geral Campistas'!$A:$R,3,0),"")</f>
        <v/>
      </c>
      <c r="H50" s="7">
        <f>IFERROR(VLOOKUP(A50,'Cadastro Geral Campistas'!$A:$R,8,0),"")</f>
        <v/>
      </c>
      <c r="I50" s="101">
        <f>IF(AND(IFERROR(VLOOKUP(A50,'Cadastro Geral Campistas'!$A:$R,18,0),0)&gt;0,COUNTIF($A$44:$A$59,IFERROR(VLOOKUP(A50,'Cadastro Geral Campistas'!$A:$R,18,0),0))&gt;0),"⚠️ CONFLITO! Cônjuge na mesma tribo: "&amp;IFERROR(VLOOKUP(IFERROR(VLOOKUP(A50,'Cadastro Geral Campistas'!$A:$R,18,0),0),'Cadastro Geral Campistas'!$A:$R,2,""),""),TRIM(IF(AND(IFERROR(VLOOKUP(A50,'Cadastro Geral Campistas'!$A:$R,10,0),"")&lt;&gt;"",LOWER(TRIM(IFERROR(VLOOKUP(A50,'Cadastro Geral Campistas'!$A:$R,10,0),"")))&lt;&gt;"não",LOWER(TRIM(IFERROR(VLOOKUP(A50,'Cadastro Geral Campistas'!$A:$R,10,0),"")))&lt;&gt;"nao",LOWER(TRIM(IFERROR(VLOOKUP(A50,'Cadastro Geral Campistas'!$A:$R,10,0),"")))&lt;&gt;"0"),IFERROR(VLOOKUP(A50,'Cadastro Geral Campistas'!$A:$R,10,0),"")&amp;IF(AND(IFERROR(VLOOKUP(A50,'Cadastro Geral Campistas'!$A:$R,15,0),"")&lt;&gt;"",LOWER(TRIM(IFERROR(VLOOKUP(A50,'Cadastro Geral Campistas'!$A:$R,15,0),"")))&lt;&gt;"não",LOWER(TRIM(IFERROR(VLOOKUP(A50,'Cadastro Geral Campistas'!$A:$R,15,0),"")))&lt;&gt;"nao",LOWER(TRIM(IFERROR(VLOOKUP(A50,'Cadastro Geral Campistas'!$A:$R,15,0),"")))&lt;&gt;"0")," | Alergia: "&amp;IFERROR(VLOOKUP(A50,'Cadastro Geral Campistas'!$A:$R,15,0),""),""),IF(AND(IFERROR(VLOOKUP(A50,'Cadastro Geral Campistas'!$A:$R,15,0),"")&lt;&gt;"",LOWER(TRIM(IFERROR(VLOOKUP(A50,'Cadastro Geral Campistas'!$A:$R,15,0),"")))&lt;&gt;"não",LOWER(TRIM(IFERROR(VLOOKUP(A50,'Cadastro Geral Campistas'!$A:$R,15,0),"")))&lt;&gt;"nao",LOWER(TRIM(IFERROR(VLOOKUP(A50,'Cadastro Geral Campistas'!$A:$R,15,0),"")))&lt;&gt;"0"),"Alergia: "&amp;IFERROR(VLOOKUP(A50,'Cadastro Geral Campistas'!$A:$R,15,0),""),""))))</f>
        <v/>
      </c>
      <c r="J50" s="58">
        <f>IFERROR(VLOOKUP(A50,'Cadastro Geral Campistas'!$A:$R,4,0),"")</f>
        <v/>
      </c>
    </row>
    <row r="51" ht="18" customHeight="1" s="121">
      <c r="A51" s="65" t="n">
        <v>109</v>
      </c>
      <c r="B51" s="22">
        <f>IFERROR(VLOOKUP(A51,'Cadastro Geral Campistas'!$A:$R,2,0),"")</f>
        <v/>
      </c>
      <c r="C51" s="23">
        <f>IFERROR(VLOOKUP(A51,'Cadastro Geral Campistas'!$A:$R,5,0),"")</f>
        <v/>
      </c>
      <c r="D51" s="23">
        <f>IFERROR(VLOOKUP(A51,'Cadastro Geral Campistas'!$A:$R,6,0),"")</f>
        <v/>
      </c>
      <c r="E51" s="23">
        <f>IFERROR(VLOOKUP(A51,'Cadastro Geral Campistas'!$A:$R,7,0),"")</f>
        <v/>
      </c>
      <c r="F51" s="22">
        <f>IFERROR(VLOOKUP(A51,'Cadastro Geral Campistas'!$A:$R,9,0),"")</f>
        <v/>
      </c>
      <c r="G51" s="23">
        <f>IFERROR(VLOOKUP(A51,'Cadastro Geral Campistas'!$A:$R,3,0),"")</f>
        <v/>
      </c>
      <c r="H51" s="22">
        <f>IFERROR(VLOOKUP(A51,'Cadastro Geral Campistas'!$A:$R,8,0),"")</f>
        <v/>
      </c>
      <c r="I51" s="106">
        <f>IF(AND(IFERROR(VLOOKUP(A51,'Cadastro Geral Campistas'!$A:$R,18,0),0)&gt;0,COUNTIF($A$44:$A$59,IFERROR(VLOOKUP(A51,'Cadastro Geral Campistas'!$A:$R,18,0),0))&gt;0),"⚠️ CONFLITO! Cônjuge na mesma tribo: "&amp;IFERROR(VLOOKUP(IFERROR(VLOOKUP(A51,'Cadastro Geral Campistas'!$A:$R,18,0),0),'Cadastro Geral Campistas'!$A:$R,2,""),""),TRIM(IF(AND(IFERROR(VLOOKUP(A51,'Cadastro Geral Campistas'!$A:$R,10,0),"")&lt;&gt;"",LOWER(TRIM(IFERROR(VLOOKUP(A51,'Cadastro Geral Campistas'!$A:$R,10,0),"")))&lt;&gt;"não",LOWER(TRIM(IFERROR(VLOOKUP(A51,'Cadastro Geral Campistas'!$A:$R,10,0),"")))&lt;&gt;"nao",LOWER(TRIM(IFERROR(VLOOKUP(A51,'Cadastro Geral Campistas'!$A:$R,10,0),"")))&lt;&gt;"0"),IFERROR(VLOOKUP(A51,'Cadastro Geral Campistas'!$A:$R,10,0),"")&amp;IF(AND(IFERROR(VLOOKUP(A51,'Cadastro Geral Campistas'!$A:$R,15,0),"")&lt;&gt;"",LOWER(TRIM(IFERROR(VLOOKUP(A51,'Cadastro Geral Campistas'!$A:$R,15,0),"")))&lt;&gt;"não",LOWER(TRIM(IFERROR(VLOOKUP(A51,'Cadastro Geral Campistas'!$A:$R,15,0),"")))&lt;&gt;"nao",LOWER(TRIM(IFERROR(VLOOKUP(A51,'Cadastro Geral Campistas'!$A:$R,15,0),"")))&lt;&gt;"0")," | Alergia: "&amp;IFERROR(VLOOKUP(A51,'Cadastro Geral Campistas'!$A:$R,15,0),""),""),IF(AND(IFERROR(VLOOKUP(A51,'Cadastro Geral Campistas'!$A:$R,15,0),"")&lt;&gt;"",LOWER(TRIM(IFERROR(VLOOKUP(A51,'Cadastro Geral Campistas'!$A:$R,15,0),"")))&lt;&gt;"não",LOWER(TRIM(IFERROR(VLOOKUP(A51,'Cadastro Geral Campistas'!$A:$R,15,0),"")))&lt;&gt;"nao",LOWER(TRIM(IFERROR(VLOOKUP(A51,'Cadastro Geral Campistas'!$A:$R,15,0),"")))&lt;&gt;"0"),"Alergia: "&amp;IFERROR(VLOOKUP(A51,'Cadastro Geral Campistas'!$A:$R,15,0),""),""))))</f>
        <v/>
      </c>
      <c r="J51" s="66">
        <f>IFERROR(VLOOKUP(A51,'Cadastro Geral Campistas'!$A:$R,4,0),"")</f>
        <v/>
      </c>
    </row>
    <row r="52" ht="18" customHeight="1" s="121">
      <c r="A52" s="57" t="n">
        <v>2</v>
      </c>
      <c r="B52" s="7">
        <f>IFERROR(VLOOKUP(A52,'Cadastro Geral Campistas'!$A:$R,2,0),"")</f>
        <v/>
      </c>
      <c r="C52" s="6">
        <f>IFERROR(VLOOKUP(A52,'Cadastro Geral Campistas'!$A:$R,5,0),"")</f>
        <v/>
      </c>
      <c r="D52" s="6">
        <f>IFERROR(VLOOKUP(A52,'Cadastro Geral Campistas'!$A:$R,6,0),"")</f>
        <v/>
      </c>
      <c r="E52" s="6">
        <f>IFERROR(VLOOKUP(A52,'Cadastro Geral Campistas'!$A:$R,7,0),"")</f>
        <v/>
      </c>
      <c r="F52" s="7">
        <f>IFERROR(VLOOKUP(A52,'Cadastro Geral Campistas'!$A:$R,9,0),"")</f>
        <v/>
      </c>
      <c r="G52" s="6">
        <f>IFERROR(VLOOKUP(A52,'Cadastro Geral Campistas'!$A:$R,3,0),"")</f>
        <v/>
      </c>
      <c r="H52" s="7">
        <f>IFERROR(VLOOKUP(A52,'Cadastro Geral Campistas'!$A:$R,8,0),"")</f>
        <v/>
      </c>
      <c r="I52" s="101">
        <f>IF(AND(IFERROR(VLOOKUP(A52,'Cadastro Geral Campistas'!$A:$R,18,0),0)&gt;0,COUNTIF($A$44:$A$59,IFERROR(VLOOKUP(A52,'Cadastro Geral Campistas'!$A:$R,18,0),0))&gt;0),"⚠️ CONFLITO! Cônjuge na mesma tribo: "&amp;IFERROR(VLOOKUP(IFERROR(VLOOKUP(A52,'Cadastro Geral Campistas'!$A:$R,18,0),0),'Cadastro Geral Campistas'!$A:$R,2,""),""),TRIM(IF(AND(IFERROR(VLOOKUP(A52,'Cadastro Geral Campistas'!$A:$R,10,0),"")&lt;&gt;"",LOWER(TRIM(IFERROR(VLOOKUP(A52,'Cadastro Geral Campistas'!$A:$R,10,0),"")))&lt;&gt;"não",LOWER(TRIM(IFERROR(VLOOKUP(A52,'Cadastro Geral Campistas'!$A:$R,10,0),"")))&lt;&gt;"nao",LOWER(TRIM(IFERROR(VLOOKUP(A52,'Cadastro Geral Campistas'!$A:$R,10,0),"")))&lt;&gt;"0"),IFERROR(VLOOKUP(A52,'Cadastro Geral Campistas'!$A:$R,10,0),"")&amp;IF(AND(IFERROR(VLOOKUP(A52,'Cadastro Geral Campistas'!$A:$R,15,0),"")&lt;&gt;"",LOWER(TRIM(IFERROR(VLOOKUP(A52,'Cadastro Geral Campistas'!$A:$R,15,0),"")))&lt;&gt;"não",LOWER(TRIM(IFERROR(VLOOKUP(A52,'Cadastro Geral Campistas'!$A:$R,15,0),"")))&lt;&gt;"nao",LOWER(TRIM(IFERROR(VLOOKUP(A52,'Cadastro Geral Campistas'!$A:$R,15,0),"")))&lt;&gt;"0")," | Alergia: "&amp;IFERROR(VLOOKUP(A52,'Cadastro Geral Campistas'!$A:$R,15,0),""),""),IF(AND(IFERROR(VLOOKUP(A52,'Cadastro Geral Campistas'!$A:$R,15,0),"")&lt;&gt;"",LOWER(TRIM(IFERROR(VLOOKUP(A52,'Cadastro Geral Campistas'!$A:$R,15,0),"")))&lt;&gt;"não",LOWER(TRIM(IFERROR(VLOOKUP(A52,'Cadastro Geral Campistas'!$A:$R,15,0),"")))&lt;&gt;"nao",LOWER(TRIM(IFERROR(VLOOKUP(A52,'Cadastro Geral Campistas'!$A:$R,15,0),"")))&lt;&gt;"0"),"Alergia: "&amp;IFERROR(VLOOKUP(A52,'Cadastro Geral Campistas'!$A:$R,15,0),""),""))))</f>
        <v/>
      </c>
      <c r="J52" s="58">
        <f>IFERROR(VLOOKUP(A52,'Cadastro Geral Campistas'!$A:$R,4,0),"")</f>
        <v/>
      </c>
    </row>
    <row r="53" ht="18" customHeight="1" s="121">
      <c r="A53" s="65" t="n">
        <v>22</v>
      </c>
      <c r="B53" s="22">
        <f>IFERROR(VLOOKUP(A53,'Cadastro Geral Campistas'!$A:$R,2,0),"")</f>
        <v/>
      </c>
      <c r="C53" s="23">
        <f>IFERROR(VLOOKUP(A53,'Cadastro Geral Campistas'!$A:$R,5,0),"")</f>
        <v/>
      </c>
      <c r="D53" s="23">
        <f>IFERROR(VLOOKUP(A53,'Cadastro Geral Campistas'!$A:$R,6,0),"")</f>
        <v/>
      </c>
      <c r="E53" s="23">
        <f>IFERROR(VLOOKUP(A53,'Cadastro Geral Campistas'!$A:$R,7,0),"")</f>
        <v/>
      </c>
      <c r="F53" s="22">
        <f>IFERROR(VLOOKUP(A53,'Cadastro Geral Campistas'!$A:$R,9,0),"")</f>
        <v/>
      </c>
      <c r="G53" s="23">
        <f>IFERROR(VLOOKUP(A53,'Cadastro Geral Campistas'!$A:$R,3,0),"")</f>
        <v/>
      </c>
      <c r="H53" s="22">
        <f>IFERROR(VLOOKUP(A53,'Cadastro Geral Campistas'!$A:$R,8,0),"")</f>
        <v/>
      </c>
      <c r="I53" s="106">
        <f>IF(AND(IFERROR(VLOOKUP(A53,'Cadastro Geral Campistas'!$A:$R,18,0),0)&gt;0,COUNTIF($A$44:$A$59,IFERROR(VLOOKUP(A53,'Cadastro Geral Campistas'!$A:$R,18,0),0))&gt;0),"⚠️ CONFLITO! Cônjuge na mesma tribo: "&amp;IFERROR(VLOOKUP(IFERROR(VLOOKUP(A53,'Cadastro Geral Campistas'!$A:$R,18,0),0),'Cadastro Geral Campistas'!$A:$R,2,""),""),TRIM(IF(AND(IFERROR(VLOOKUP(A53,'Cadastro Geral Campistas'!$A:$R,10,0),"")&lt;&gt;"",LOWER(TRIM(IFERROR(VLOOKUP(A53,'Cadastro Geral Campistas'!$A:$R,10,0),"")))&lt;&gt;"não",LOWER(TRIM(IFERROR(VLOOKUP(A53,'Cadastro Geral Campistas'!$A:$R,10,0),"")))&lt;&gt;"nao",LOWER(TRIM(IFERROR(VLOOKUP(A53,'Cadastro Geral Campistas'!$A:$R,10,0),"")))&lt;&gt;"0"),IFERROR(VLOOKUP(A53,'Cadastro Geral Campistas'!$A:$R,10,0),"")&amp;IF(AND(IFERROR(VLOOKUP(A53,'Cadastro Geral Campistas'!$A:$R,15,0),"")&lt;&gt;"",LOWER(TRIM(IFERROR(VLOOKUP(A53,'Cadastro Geral Campistas'!$A:$R,15,0),"")))&lt;&gt;"não",LOWER(TRIM(IFERROR(VLOOKUP(A53,'Cadastro Geral Campistas'!$A:$R,15,0),"")))&lt;&gt;"nao",LOWER(TRIM(IFERROR(VLOOKUP(A53,'Cadastro Geral Campistas'!$A:$R,15,0),"")))&lt;&gt;"0")," | Alergia: "&amp;IFERROR(VLOOKUP(A53,'Cadastro Geral Campistas'!$A:$R,15,0),""),""),IF(AND(IFERROR(VLOOKUP(A53,'Cadastro Geral Campistas'!$A:$R,15,0),"")&lt;&gt;"",LOWER(TRIM(IFERROR(VLOOKUP(A53,'Cadastro Geral Campistas'!$A:$R,15,0),"")))&lt;&gt;"não",LOWER(TRIM(IFERROR(VLOOKUP(A53,'Cadastro Geral Campistas'!$A:$R,15,0),"")))&lt;&gt;"nao",LOWER(TRIM(IFERROR(VLOOKUP(A53,'Cadastro Geral Campistas'!$A:$R,15,0),"")))&lt;&gt;"0"),"Alergia: "&amp;IFERROR(VLOOKUP(A53,'Cadastro Geral Campistas'!$A:$R,15,0),""),""))))</f>
        <v/>
      </c>
      <c r="J53" s="66">
        <f>IFERROR(VLOOKUP(A53,'Cadastro Geral Campistas'!$A:$R,4,0),"")</f>
        <v/>
      </c>
    </row>
    <row r="54" ht="18" customHeight="1" s="121">
      <c r="A54" s="57" t="n">
        <v>36</v>
      </c>
      <c r="B54" s="7">
        <f>IFERROR(VLOOKUP(A54,'Cadastro Geral Campistas'!$A:$R,2,0),"")</f>
        <v/>
      </c>
      <c r="C54" s="6">
        <f>IFERROR(VLOOKUP(A54,'Cadastro Geral Campistas'!$A:$R,5,0),"")</f>
        <v/>
      </c>
      <c r="D54" s="6">
        <f>IFERROR(VLOOKUP(A54,'Cadastro Geral Campistas'!$A:$R,6,0),"")</f>
        <v/>
      </c>
      <c r="E54" s="6">
        <f>IFERROR(VLOOKUP(A54,'Cadastro Geral Campistas'!$A:$R,7,0),"")</f>
        <v/>
      </c>
      <c r="F54" s="7">
        <f>IFERROR(VLOOKUP(A54,'Cadastro Geral Campistas'!$A:$R,9,0),"")</f>
        <v/>
      </c>
      <c r="G54" s="6">
        <f>IFERROR(VLOOKUP(A54,'Cadastro Geral Campistas'!$A:$R,3,0),"")</f>
        <v/>
      </c>
      <c r="H54" s="7">
        <f>IFERROR(VLOOKUP(A54,'Cadastro Geral Campistas'!$A:$R,8,0),"")</f>
        <v/>
      </c>
      <c r="I54" s="101">
        <f>IF(AND(IFERROR(VLOOKUP(A54,'Cadastro Geral Campistas'!$A:$R,18,0),0)&gt;0,COUNTIF($A$44:$A$59,IFERROR(VLOOKUP(A54,'Cadastro Geral Campistas'!$A:$R,18,0),0))&gt;0),"⚠️ CONFLITO! Cônjuge na mesma tribo: "&amp;IFERROR(VLOOKUP(IFERROR(VLOOKUP(A54,'Cadastro Geral Campistas'!$A:$R,18,0),0),'Cadastro Geral Campistas'!$A:$R,2,""),""),TRIM(IF(AND(IFERROR(VLOOKUP(A54,'Cadastro Geral Campistas'!$A:$R,10,0),"")&lt;&gt;"",LOWER(TRIM(IFERROR(VLOOKUP(A54,'Cadastro Geral Campistas'!$A:$R,10,0),"")))&lt;&gt;"não",LOWER(TRIM(IFERROR(VLOOKUP(A54,'Cadastro Geral Campistas'!$A:$R,10,0),"")))&lt;&gt;"nao",LOWER(TRIM(IFERROR(VLOOKUP(A54,'Cadastro Geral Campistas'!$A:$R,10,0),"")))&lt;&gt;"0"),IFERROR(VLOOKUP(A54,'Cadastro Geral Campistas'!$A:$R,10,0),"")&amp;IF(AND(IFERROR(VLOOKUP(A54,'Cadastro Geral Campistas'!$A:$R,15,0),"")&lt;&gt;"",LOWER(TRIM(IFERROR(VLOOKUP(A54,'Cadastro Geral Campistas'!$A:$R,15,0),"")))&lt;&gt;"não",LOWER(TRIM(IFERROR(VLOOKUP(A54,'Cadastro Geral Campistas'!$A:$R,15,0),"")))&lt;&gt;"nao",LOWER(TRIM(IFERROR(VLOOKUP(A54,'Cadastro Geral Campistas'!$A:$R,15,0),"")))&lt;&gt;"0")," | Alergia: "&amp;IFERROR(VLOOKUP(A54,'Cadastro Geral Campistas'!$A:$R,15,0),""),""),IF(AND(IFERROR(VLOOKUP(A54,'Cadastro Geral Campistas'!$A:$R,15,0),"")&lt;&gt;"",LOWER(TRIM(IFERROR(VLOOKUP(A54,'Cadastro Geral Campistas'!$A:$R,15,0),"")))&lt;&gt;"não",LOWER(TRIM(IFERROR(VLOOKUP(A54,'Cadastro Geral Campistas'!$A:$R,15,0),"")))&lt;&gt;"nao",LOWER(TRIM(IFERROR(VLOOKUP(A54,'Cadastro Geral Campistas'!$A:$R,15,0),"")))&lt;&gt;"0"),"Alergia: "&amp;IFERROR(VLOOKUP(A54,'Cadastro Geral Campistas'!$A:$R,15,0),""),""))))</f>
        <v/>
      </c>
      <c r="J54" s="58">
        <f>IFERROR(VLOOKUP(A54,'Cadastro Geral Campistas'!$A:$R,4,0),"")</f>
        <v/>
      </c>
    </row>
    <row r="55" ht="18" customHeight="1" s="121">
      <c r="A55" s="65" t="n">
        <v>44</v>
      </c>
      <c r="B55" s="22">
        <f>IFERROR(VLOOKUP(A55,'Cadastro Geral Campistas'!$A:$R,2,0),"")</f>
        <v/>
      </c>
      <c r="C55" s="23">
        <f>IFERROR(VLOOKUP(A55,'Cadastro Geral Campistas'!$A:$R,5,0),"")</f>
        <v/>
      </c>
      <c r="D55" s="23">
        <f>IFERROR(VLOOKUP(A55,'Cadastro Geral Campistas'!$A:$R,6,0),"")</f>
        <v/>
      </c>
      <c r="E55" s="23">
        <f>IFERROR(VLOOKUP(A55,'Cadastro Geral Campistas'!$A:$R,7,0),"")</f>
        <v/>
      </c>
      <c r="F55" s="22">
        <f>IFERROR(VLOOKUP(A55,'Cadastro Geral Campistas'!$A:$R,9,0),"")</f>
        <v/>
      </c>
      <c r="G55" s="23">
        <f>IFERROR(VLOOKUP(A55,'Cadastro Geral Campistas'!$A:$R,3,0),"")</f>
        <v/>
      </c>
      <c r="H55" s="22">
        <f>IFERROR(VLOOKUP(A55,'Cadastro Geral Campistas'!$A:$R,8,0),"")</f>
        <v/>
      </c>
      <c r="I55" s="106">
        <f>IF(AND(IFERROR(VLOOKUP(A55,'Cadastro Geral Campistas'!$A:$R,18,0),0)&gt;0,COUNTIF($A$44:$A$59,IFERROR(VLOOKUP(A55,'Cadastro Geral Campistas'!$A:$R,18,0),0))&gt;0),"⚠️ CONFLITO! Cônjuge na mesma tribo: "&amp;IFERROR(VLOOKUP(IFERROR(VLOOKUP(A55,'Cadastro Geral Campistas'!$A:$R,18,0),0),'Cadastro Geral Campistas'!$A:$R,2,""),""),TRIM(IF(AND(IFERROR(VLOOKUP(A55,'Cadastro Geral Campistas'!$A:$R,10,0),"")&lt;&gt;"",LOWER(TRIM(IFERROR(VLOOKUP(A55,'Cadastro Geral Campistas'!$A:$R,10,0),"")))&lt;&gt;"não",LOWER(TRIM(IFERROR(VLOOKUP(A55,'Cadastro Geral Campistas'!$A:$R,10,0),"")))&lt;&gt;"nao",LOWER(TRIM(IFERROR(VLOOKUP(A55,'Cadastro Geral Campistas'!$A:$R,10,0),"")))&lt;&gt;"0"),IFERROR(VLOOKUP(A55,'Cadastro Geral Campistas'!$A:$R,10,0),"")&amp;IF(AND(IFERROR(VLOOKUP(A55,'Cadastro Geral Campistas'!$A:$R,15,0),"")&lt;&gt;"",LOWER(TRIM(IFERROR(VLOOKUP(A55,'Cadastro Geral Campistas'!$A:$R,15,0),"")))&lt;&gt;"não",LOWER(TRIM(IFERROR(VLOOKUP(A55,'Cadastro Geral Campistas'!$A:$R,15,0),"")))&lt;&gt;"nao",LOWER(TRIM(IFERROR(VLOOKUP(A55,'Cadastro Geral Campistas'!$A:$R,15,0),"")))&lt;&gt;"0")," | Alergia: "&amp;IFERROR(VLOOKUP(A55,'Cadastro Geral Campistas'!$A:$R,15,0),""),""),IF(AND(IFERROR(VLOOKUP(A55,'Cadastro Geral Campistas'!$A:$R,15,0),"")&lt;&gt;"",LOWER(TRIM(IFERROR(VLOOKUP(A55,'Cadastro Geral Campistas'!$A:$R,15,0),"")))&lt;&gt;"não",LOWER(TRIM(IFERROR(VLOOKUP(A55,'Cadastro Geral Campistas'!$A:$R,15,0),"")))&lt;&gt;"nao",LOWER(TRIM(IFERROR(VLOOKUP(A55,'Cadastro Geral Campistas'!$A:$R,15,0),"")))&lt;&gt;"0"),"Alergia: "&amp;IFERROR(VLOOKUP(A55,'Cadastro Geral Campistas'!$A:$R,15,0),""),""))))</f>
        <v/>
      </c>
      <c r="J55" s="66">
        <f>IFERROR(VLOOKUP(A55,'Cadastro Geral Campistas'!$A:$R,4,0),"")</f>
        <v/>
      </c>
    </row>
    <row r="56" ht="18" customHeight="1" s="121">
      <c r="A56" s="57" t="n">
        <v>64</v>
      </c>
      <c r="B56" s="7">
        <f>IFERROR(VLOOKUP(A56,'Cadastro Geral Campistas'!$A:$R,2,0),"")</f>
        <v/>
      </c>
      <c r="C56" s="6">
        <f>IFERROR(VLOOKUP(A56,'Cadastro Geral Campistas'!$A:$R,5,0),"")</f>
        <v/>
      </c>
      <c r="D56" s="6">
        <f>IFERROR(VLOOKUP(A56,'Cadastro Geral Campistas'!$A:$R,6,0),"")</f>
        <v/>
      </c>
      <c r="E56" s="6">
        <f>IFERROR(VLOOKUP(A56,'Cadastro Geral Campistas'!$A:$R,7,0),"")</f>
        <v/>
      </c>
      <c r="F56" s="7">
        <f>IFERROR(VLOOKUP(A56,'Cadastro Geral Campistas'!$A:$R,9,0),"")</f>
        <v/>
      </c>
      <c r="G56" s="6">
        <f>IFERROR(VLOOKUP(A56,'Cadastro Geral Campistas'!$A:$R,3,0),"")</f>
        <v/>
      </c>
      <c r="H56" s="7">
        <f>IFERROR(VLOOKUP(A56,'Cadastro Geral Campistas'!$A:$R,8,0),"")</f>
        <v/>
      </c>
      <c r="I56" s="101">
        <f>IF(AND(IFERROR(VLOOKUP(A56,'Cadastro Geral Campistas'!$A:$R,18,0),0)&gt;0,COUNTIF($A$44:$A$59,IFERROR(VLOOKUP(A56,'Cadastro Geral Campistas'!$A:$R,18,0),0))&gt;0),"⚠️ CONFLITO! Cônjuge na mesma tribo: "&amp;IFERROR(VLOOKUP(IFERROR(VLOOKUP(A56,'Cadastro Geral Campistas'!$A:$R,18,0),0),'Cadastro Geral Campistas'!$A:$R,2,""),""),TRIM(IF(AND(IFERROR(VLOOKUP(A56,'Cadastro Geral Campistas'!$A:$R,10,0),"")&lt;&gt;"",LOWER(TRIM(IFERROR(VLOOKUP(A56,'Cadastro Geral Campistas'!$A:$R,10,0),"")))&lt;&gt;"não",LOWER(TRIM(IFERROR(VLOOKUP(A56,'Cadastro Geral Campistas'!$A:$R,10,0),"")))&lt;&gt;"nao",LOWER(TRIM(IFERROR(VLOOKUP(A56,'Cadastro Geral Campistas'!$A:$R,10,0),"")))&lt;&gt;"0"),IFERROR(VLOOKUP(A56,'Cadastro Geral Campistas'!$A:$R,10,0),"")&amp;IF(AND(IFERROR(VLOOKUP(A56,'Cadastro Geral Campistas'!$A:$R,15,0),"")&lt;&gt;"",LOWER(TRIM(IFERROR(VLOOKUP(A56,'Cadastro Geral Campistas'!$A:$R,15,0),"")))&lt;&gt;"não",LOWER(TRIM(IFERROR(VLOOKUP(A56,'Cadastro Geral Campistas'!$A:$R,15,0),"")))&lt;&gt;"nao",LOWER(TRIM(IFERROR(VLOOKUP(A56,'Cadastro Geral Campistas'!$A:$R,15,0),"")))&lt;&gt;"0")," | Alergia: "&amp;IFERROR(VLOOKUP(A56,'Cadastro Geral Campistas'!$A:$R,15,0),""),""),IF(AND(IFERROR(VLOOKUP(A56,'Cadastro Geral Campistas'!$A:$R,15,0),"")&lt;&gt;"",LOWER(TRIM(IFERROR(VLOOKUP(A56,'Cadastro Geral Campistas'!$A:$R,15,0),"")))&lt;&gt;"não",LOWER(TRIM(IFERROR(VLOOKUP(A56,'Cadastro Geral Campistas'!$A:$R,15,0),"")))&lt;&gt;"nao",LOWER(TRIM(IFERROR(VLOOKUP(A56,'Cadastro Geral Campistas'!$A:$R,15,0),"")))&lt;&gt;"0"),"Alergia: "&amp;IFERROR(VLOOKUP(A56,'Cadastro Geral Campistas'!$A:$R,15,0),""),""))))</f>
        <v/>
      </c>
      <c r="J56" s="58">
        <f>IFERROR(VLOOKUP(A56,'Cadastro Geral Campistas'!$A:$R,4,0),"")</f>
        <v/>
      </c>
    </row>
    <row r="57" ht="18" customHeight="1" s="121">
      <c r="A57" s="65" t="n">
        <v>86</v>
      </c>
      <c r="B57" s="22">
        <f>IFERROR(VLOOKUP(A57,'Cadastro Geral Campistas'!$A:$R,2,0),"")</f>
        <v/>
      </c>
      <c r="C57" s="23">
        <f>IFERROR(VLOOKUP(A57,'Cadastro Geral Campistas'!$A:$R,5,0),"")</f>
        <v/>
      </c>
      <c r="D57" s="23">
        <f>IFERROR(VLOOKUP(A57,'Cadastro Geral Campistas'!$A:$R,6,0),"")</f>
        <v/>
      </c>
      <c r="E57" s="23">
        <f>IFERROR(VLOOKUP(A57,'Cadastro Geral Campistas'!$A:$R,7,0),"")</f>
        <v/>
      </c>
      <c r="F57" s="22">
        <f>IFERROR(VLOOKUP(A57,'Cadastro Geral Campistas'!$A:$R,9,0),"")</f>
        <v/>
      </c>
      <c r="G57" s="23">
        <f>IFERROR(VLOOKUP(A57,'Cadastro Geral Campistas'!$A:$R,3,0),"")</f>
        <v/>
      </c>
      <c r="H57" s="22">
        <f>IFERROR(VLOOKUP(A57,'Cadastro Geral Campistas'!$A:$R,8,0),"")</f>
        <v/>
      </c>
      <c r="I57" s="106">
        <f>IF(AND(IFERROR(VLOOKUP(A57,'Cadastro Geral Campistas'!$A:$R,18,0),0)&gt;0,COUNTIF($A$44:$A$59,IFERROR(VLOOKUP(A57,'Cadastro Geral Campistas'!$A:$R,18,0),0))&gt;0),"⚠️ CONFLITO! Cônjuge na mesma tribo: "&amp;IFERROR(VLOOKUP(IFERROR(VLOOKUP(A57,'Cadastro Geral Campistas'!$A:$R,18,0),0),'Cadastro Geral Campistas'!$A:$R,2,""),""),TRIM(IF(AND(IFERROR(VLOOKUP(A57,'Cadastro Geral Campistas'!$A:$R,10,0),"")&lt;&gt;"",LOWER(TRIM(IFERROR(VLOOKUP(A57,'Cadastro Geral Campistas'!$A:$R,10,0),"")))&lt;&gt;"não",LOWER(TRIM(IFERROR(VLOOKUP(A57,'Cadastro Geral Campistas'!$A:$R,10,0),"")))&lt;&gt;"nao",LOWER(TRIM(IFERROR(VLOOKUP(A57,'Cadastro Geral Campistas'!$A:$R,10,0),"")))&lt;&gt;"0"),IFERROR(VLOOKUP(A57,'Cadastro Geral Campistas'!$A:$R,10,0),"")&amp;IF(AND(IFERROR(VLOOKUP(A57,'Cadastro Geral Campistas'!$A:$R,15,0),"")&lt;&gt;"",LOWER(TRIM(IFERROR(VLOOKUP(A57,'Cadastro Geral Campistas'!$A:$R,15,0),"")))&lt;&gt;"não",LOWER(TRIM(IFERROR(VLOOKUP(A57,'Cadastro Geral Campistas'!$A:$R,15,0),"")))&lt;&gt;"nao",LOWER(TRIM(IFERROR(VLOOKUP(A57,'Cadastro Geral Campistas'!$A:$R,15,0),"")))&lt;&gt;"0")," | Alergia: "&amp;IFERROR(VLOOKUP(A57,'Cadastro Geral Campistas'!$A:$R,15,0),""),""),IF(AND(IFERROR(VLOOKUP(A57,'Cadastro Geral Campistas'!$A:$R,15,0),"")&lt;&gt;"",LOWER(TRIM(IFERROR(VLOOKUP(A57,'Cadastro Geral Campistas'!$A:$R,15,0),"")))&lt;&gt;"não",LOWER(TRIM(IFERROR(VLOOKUP(A57,'Cadastro Geral Campistas'!$A:$R,15,0),"")))&lt;&gt;"nao",LOWER(TRIM(IFERROR(VLOOKUP(A57,'Cadastro Geral Campistas'!$A:$R,15,0),"")))&lt;&gt;"0"),"Alergia: "&amp;IFERROR(VLOOKUP(A57,'Cadastro Geral Campistas'!$A:$R,15,0),""),""))))</f>
        <v/>
      </c>
      <c r="J57" s="66">
        <f>IFERROR(VLOOKUP(A57,'Cadastro Geral Campistas'!$A:$R,4,0),"")</f>
        <v/>
      </c>
    </row>
    <row r="58" ht="18" customHeight="1" s="121">
      <c r="A58" s="55" t="n">
        <v>93</v>
      </c>
      <c r="B58" s="3">
        <f>IFERROR(VLOOKUP(A58,'Cadastro Geral Campistas'!$A:$R,2,0),"")</f>
        <v/>
      </c>
      <c r="C58" s="2">
        <f>IFERROR(VLOOKUP(A58,'Cadastro Geral Campistas'!$A:$R,5,0),"")</f>
        <v/>
      </c>
      <c r="D58" s="2">
        <f>IFERROR(VLOOKUP(A58,'Cadastro Geral Campistas'!$A:$R,6,0),"")</f>
        <v/>
      </c>
      <c r="E58" s="2">
        <f>IFERROR(VLOOKUP(A58,'Cadastro Geral Campistas'!$A:$R,7,0),"")</f>
        <v/>
      </c>
      <c r="F58" s="3">
        <f>IFERROR(VLOOKUP(A58,'Cadastro Geral Campistas'!$A:$R,9,0),"")</f>
        <v/>
      </c>
      <c r="G58" s="2">
        <f>IFERROR(VLOOKUP(A58,'Cadastro Geral Campistas'!$A:$R,3,0),"")</f>
        <v/>
      </c>
      <c r="H58" s="3">
        <f>IFERROR(VLOOKUP(A58,'Cadastro Geral Campistas'!$A:$R,8,0),"")</f>
        <v/>
      </c>
      <c r="I58" s="103">
        <f>IF(AND(IFERROR(VLOOKUP(A58,'Cadastro Geral Campistas'!$A:$R,18,0),0)&gt;0,COUNTIF($A$44:$A$59,IFERROR(VLOOKUP(A58,'Cadastro Geral Campistas'!$A:$R,18,0),0))&gt;0),"⚠️ CONFLITO! Cônjuge na mesma tribo: "&amp;IFERROR(VLOOKUP(IFERROR(VLOOKUP(A58,'Cadastro Geral Campistas'!$A:$R,18,0),0),'Cadastro Geral Campistas'!$A:$R,2,""),""),TRIM(IF(AND(IFERROR(VLOOKUP(A58,'Cadastro Geral Campistas'!$A:$R,10,0),"")&lt;&gt;"",LOWER(TRIM(IFERROR(VLOOKUP(A58,'Cadastro Geral Campistas'!$A:$R,10,0),"")))&lt;&gt;"não",LOWER(TRIM(IFERROR(VLOOKUP(A58,'Cadastro Geral Campistas'!$A:$R,10,0),"")))&lt;&gt;"nao",LOWER(TRIM(IFERROR(VLOOKUP(A58,'Cadastro Geral Campistas'!$A:$R,10,0),"")))&lt;&gt;"0"),IFERROR(VLOOKUP(A58,'Cadastro Geral Campistas'!$A:$R,10,0),"")&amp;IF(AND(IFERROR(VLOOKUP(A58,'Cadastro Geral Campistas'!$A:$R,15,0),"")&lt;&gt;"",LOWER(TRIM(IFERROR(VLOOKUP(A58,'Cadastro Geral Campistas'!$A:$R,15,0),"")))&lt;&gt;"não",LOWER(TRIM(IFERROR(VLOOKUP(A58,'Cadastro Geral Campistas'!$A:$R,15,0),"")))&lt;&gt;"nao",LOWER(TRIM(IFERROR(VLOOKUP(A58,'Cadastro Geral Campistas'!$A:$R,15,0),"")))&lt;&gt;"0")," | Alergia: "&amp;IFERROR(VLOOKUP(A58,'Cadastro Geral Campistas'!$A:$R,15,0),""),""),IF(AND(IFERROR(VLOOKUP(A58,'Cadastro Geral Campistas'!$A:$R,15,0),"")&lt;&gt;"",LOWER(TRIM(IFERROR(VLOOKUP(A58,'Cadastro Geral Campistas'!$A:$R,15,0),"")))&lt;&gt;"não",LOWER(TRIM(IFERROR(VLOOKUP(A58,'Cadastro Geral Campistas'!$A:$R,15,0),"")))&lt;&gt;"nao",LOWER(TRIM(IFERROR(VLOOKUP(A58,'Cadastro Geral Campistas'!$A:$R,15,0),"")))&lt;&gt;"0"),"Alergia: "&amp;IFERROR(VLOOKUP(A58,'Cadastro Geral Campistas'!$A:$R,15,0),""),""))))</f>
        <v/>
      </c>
      <c r="J58" s="56">
        <f>IFERROR(VLOOKUP(A58,'Cadastro Geral Campistas'!$A:$R,4,0),"")</f>
        <v/>
      </c>
    </row>
    <row r="59" ht="18" customHeight="1" s="121">
      <c r="A59" s="65" t="n">
        <v>111</v>
      </c>
      <c r="B59" s="22">
        <f>IFERROR(VLOOKUP(A59,'Cadastro Geral Campistas'!$A:$R,2,0),"")</f>
        <v/>
      </c>
      <c r="C59" s="23">
        <f>IFERROR(VLOOKUP(A59,'Cadastro Geral Campistas'!$A:$R,5,0),"")</f>
        <v/>
      </c>
      <c r="D59" s="23">
        <f>IFERROR(VLOOKUP(A59,'Cadastro Geral Campistas'!$A:$R,6,0),"")</f>
        <v/>
      </c>
      <c r="E59" s="23">
        <f>IFERROR(VLOOKUP(A59,'Cadastro Geral Campistas'!$A:$R,7,0),"")</f>
        <v/>
      </c>
      <c r="F59" s="22">
        <f>IFERROR(VLOOKUP(A59,'Cadastro Geral Campistas'!$A:$R,9,0),"")</f>
        <v/>
      </c>
      <c r="G59" s="23">
        <f>IFERROR(VLOOKUP(A59,'Cadastro Geral Campistas'!$A:$R,3,0),"")</f>
        <v/>
      </c>
      <c r="H59" s="22">
        <f>IFERROR(VLOOKUP(A59,'Cadastro Geral Campistas'!$A:$R,8,0),"")</f>
        <v/>
      </c>
      <c r="I59" s="106">
        <f>IF(AND(IFERROR(VLOOKUP(A59,'Cadastro Geral Campistas'!$A:$R,18,0),0)&gt;0,COUNTIF($A$44:$A$59,IFERROR(VLOOKUP(A59,'Cadastro Geral Campistas'!$A:$R,18,0),0))&gt;0),"⚠️ CONFLITO! Cônjuge na mesma tribo: "&amp;IFERROR(VLOOKUP(IFERROR(VLOOKUP(A59,'Cadastro Geral Campistas'!$A:$R,18,0),0),'Cadastro Geral Campistas'!$A:$R,2,""),""),TRIM(IF(AND(IFERROR(VLOOKUP(A59,'Cadastro Geral Campistas'!$A:$R,10,0),"")&lt;&gt;"",LOWER(TRIM(IFERROR(VLOOKUP(A59,'Cadastro Geral Campistas'!$A:$R,10,0),"")))&lt;&gt;"não",LOWER(TRIM(IFERROR(VLOOKUP(A59,'Cadastro Geral Campistas'!$A:$R,10,0),"")))&lt;&gt;"nao",LOWER(TRIM(IFERROR(VLOOKUP(A59,'Cadastro Geral Campistas'!$A:$R,10,0),"")))&lt;&gt;"0"),IFERROR(VLOOKUP(A59,'Cadastro Geral Campistas'!$A:$R,10,0),"")&amp;IF(AND(IFERROR(VLOOKUP(A59,'Cadastro Geral Campistas'!$A:$R,15,0),"")&lt;&gt;"",LOWER(TRIM(IFERROR(VLOOKUP(A59,'Cadastro Geral Campistas'!$A:$R,15,0),"")))&lt;&gt;"não",LOWER(TRIM(IFERROR(VLOOKUP(A59,'Cadastro Geral Campistas'!$A:$R,15,0),"")))&lt;&gt;"nao",LOWER(TRIM(IFERROR(VLOOKUP(A59,'Cadastro Geral Campistas'!$A:$R,15,0),"")))&lt;&gt;"0")," | Alergia: "&amp;IFERROR(VLOOKUP(A59,'Cadastro Geral Campistas'!$A:$R,15,0),""),""),IF(AND(IFERROR(VLOOKUP(A59,'Cadastro Geral Campistas'!$A:$R,15,0),"")&lt;&gt;"",LOWER(TRIM(IFERROR(VLOOKUP(A59,'Cadastro Geral Campistas'!$A:$R,15,0),"")))&lt;&gt;"não",LOWER(TRIM(IFERROR(VLOOKUP(A59,'Cadastro Geral Campistas'!$A:$R,15,0),"")))&lt;&gt;"nao",LOWER(TRIM(IFERROR(VLOOKUP(A59,'Cadastro Geral Campistas'!$A:$R,15,0),"")))&lt;&gt;"0"),"Alergia: "&amp;IFERROR(VLOOKUP(A59,'Cadastro Geral Campistas'!$A:$R,15,0),""),""))))</f>
        <v/>
      </c>
      <c r="J59" s="66">
        <f>IFERROR(VLOOKUP(A59,'Cadastro Geral Campistas'!$A:$R,4,0),"")</f>
        <v/>
      </c>
    </row>
    <row r="60">
      <c r="A60" s="61" t="inlineStr">
        <is>
          <t>MÉDIA&gt;&gt;&gt;&gt;&gt;&gt;&gt;&gt;&gt;</t>
        </is>
      </c>
      <c r="B60" s="20" t="n"/>
      <c r="C60" s="20">
        <f>IFERROR(ROUND(AVERAGE(C44:C59),1),"")</f>
        <v/>
      </c>
      <c r="D60" s="20" t="n"/>
      <c r="E60" s="20">
        <f>IFERROR(ROUND(AVERAGE(E44:E59),1),"")</f>
        <v/>
      </c>
      <c r="F60" s="117" t="n"/>
      <c r="G60" s="117" t="n"/>
      <c r="H60" s="117" t="n"/>
      <c r="I60" s="126">
        <f>COUNTIF(J44:J59,"F")&amp;"  F    |    "&amp;COUNTIF(J44:J59,"M")&amp;"  M"</f>
        <v/>
      </c>
      <c r="J60" s="127" t="n"/>
    </row>
    <row r="61">
      <c r="A61" s="118" t="n"/>
      <c r="B61" s="119" t="n"/>
      <c r="C61" s="119" t="n"/>
      <c r="D61" s="119" t="n"/>
      <c r="E61" s="119" t="n"/>
      <c r="F61" s="119" t="n"/>
      <c r="G61" s="119" t="n"/>
      <c r="H61" s="119" t="n"/>
      <c r="I61" s="140" t="inlineStr">
        <is>
          <t>Sequências das dinâmicas:</t>
        </is>
      </c>
      <c r="J61" s="125" t="n"/>
    </row>
    <row r="62">
      <c r="A62" s="120" t="n"/>
      <c r="I62" s="124" t="inlineStr">
        <is>
          <t>1 - Espelho</t>
        </is>
      </c>
      <c r="J62" s="125" t="n"/>
    </row>
    <row r="63">
      <c r="A63" s="120" t="n"/>
      <c r="I63" s="124" t="inlineStr">
        <is>
          <t>2 - Balanço</t>
        </is>
      </c>
      <c r="J63" s="125" t="n"/>
    </row>
    <row r="64">
      <c r="A64" s="120" t="n"/>
      <c r="I64" s="124" t="inlineStr">
        <is>
          <t>3 - Casa de Maria</t>
        </is>
      </c>
      <c r="J64" s="125" t="n"/>
    </row>
    <row r="65">
      <c r="A65" s="120" t="n"/>
      <c r="I65" s="124" t="inlineStr">
        <is>
          <t>4 - Salto da Fé</t>
        </is>
      </c>
      <c r="J65" s="125" t="n"/>
    </row>
    <row r="66">
      <c r="A66" s="120" t="n"/>
      <c r="I66" s="124" t="inlineStr">
        <is>
          <t>5 - Cabana</t>
        </is>
      </c>
      <c r="J66" s="125" t="n"/>
    </row>
    <row r="67">
      <c r="A67" s="120" t="n"/>
      <c r="I67" s="124" t="inlineStr">
        <is>
          <t>6 - Casa da Misericórdia</t>
        </is>
      </c>
      <c r="J67" s="125" t="n"/>
    </row>
    <row r="68">
      <c r="A68" s="120" t="n"/>
      <c r="I68" s="124" t="inlineStr">
        <is>
          <t>7 - Metrô</t>
        </is>
      </c>
      <c r="J68" s="125" t="n"/>
    </row>
    <row r="69">
      <c r="A69" s="120" t="n"/>
      <c r="I69" s="124" t="inlineStr">
        <is>
          <t>8 - Paredão</t>
        </is>
      </c>
      <c r="J69" s="125" t="n"/>
    </row>
    <row r="70" ht="14.7" customHeight="1" s="121" thickBot="1">
      <c r="A70" s="122" t="n"/>
      <c r="B70" s="123" t="n"/>
      <c r="C70" s="123" t="n"/>
      <c r="D70" s="123" t="n"/>
      <c r="E70" s="123" t="n"/>
      <c r="F70" s="123" t="n"/>
      <c r="G70" s="123" t="n"/>
      <c r="H70" s="123" t="n"/>
      <c r="I70" s="62" t="inlineStr">
        <is>
          <t>9 - Casa do Pai</t>
        </is>
      </c>
      <c r="J70" s="133" t="n"/>
    </row>
    <row r="71" ht="28" customHeight="1" s="121">
      <c r="A71" s="166" t="inlineStr">
        <is>
          <t>Cor: Laranja</t>
        </is>
      </c>
      <c r="B71" s="136" t="n"/>
      <c r="C71" s="136" t="n"/>
      <c r="D71" s="136" t="n"/>
      <c r="E71" s="143" t="inlineStr">
        <is>
          <t>Tribo Judá</t>
        </is>
      </c>
      <c r="F71" s="136" t="n"/>
      <c r="G71" s="136" t="n"/>
      <c r="H71" s="136" t="n"/>
      <c r="I71" s="136" t="n"/>
      <c r="J71" s="144" t="n"/>
    </row>
    <row r="72">
      <c r="A72" s="149" t="inlineStr">
        <is>
          <t>Anjos:</t>
        </is>
      </c>
      <c r="D72" s="142" t="n"/>
      <c r="G72" s="140" t="inlineStr">
        <is>
          <t>Anjo Guardião:</t>
        </is>
      </c>
      <c r="J72" s="125" t="n"/>
    </row>
    <row r="73">
      <c r="A73" s="120" t="n"/>
      <c r="J73" s="125" t="n"/>
    </row>
    <row r="74">
      <c r="A74" s="120" t="n"/>
      <c r="J74" s="125" t="n"/>
    </row>
    <row r="75">
      <c r="A75" s="154" t="inlineStr">
        <is>
          <t>Rodrigo Olmedo</t>
        </is>
      </c>
      <c r="G75" s="155" t="inlineStr">
        <is>
          <t>Victoria</t>
        </is>
      </c>
      <c r="J75" s="125" t="n"/>
    </row>
    <row r="76">
      <c r="A76" s="154" t="inlineStr">
        <is>
          <t>Marla</t>
        </is>
      </c>
      <c r="D76" s="142" t="n"/>
      <c r="J76" s="125" t="n"/>
    </row>
    <row r="77">
      <c r="A77" s="162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46" t="n"/>
    </row>
    <row r="78">
      <c r="A78" s="69" t="inlineStr">
        <is>
          <t>Ficha ✏️</t>
        </is>
      </c>
      <c r="B78" s="24" t="inlineStr">
        <is>
          <t>Nome</t>
        </is>
      </c>
      <c r="C78" s="24" t="inlineStr">
        <is>
          <t>Peso</t>
        </is>
      </c>
      <c r="D78" s="24" t="inlineStr">
        <is>
          <t>Alt</t>
        </is>
      </c>
      <c r="E78" s="24" t="inlineStr">
        <is>
          <t>Idade</t>
        </is>
      </c>
      <c r="F78" s="24" t="inlineStr">
        <is>
          <t>Cidade</t>
        </is>
      </c>
      <c r="G78" s="24" t="inlineStr">
        <is>
          <t>Camiseta</t>
        </is>
      </c>
      <c r="H78" s="24" t="inlineStr">
        <is>
          <t>Celular</t>
        </is>
      </c>
      <c r="I78" s="24" t="inlineStr">
        <is>
          <t>⚠️ Alerta / Observações</t>
        </is>
      </c>
      <c r="J78" s="70" t="inlineStr">
        <is>
          <t>Sexo</t>
        </is>
      </c>
    </row>
    <row r="79" ht="18" customHeight="1" s="121">
      <c r="A79" s="55" t="n">
        <v>8</v>
      </c>
      <c r="B79" s="3">
        <f>IFERROR(VLOOKUP(A79,'Cadastro Geral Campistas'!$A:$R,2,0),"")</f>
        <v/>
      </c>
      <c r="C79" s="2">
        <f>IFERROR(VLOOKUP(A79,'Cadastro Geral Campistas'!$A:$R,5,0),"")</f>
        <v/>
      </c>
      <c r="D79" s="2">
        <f>IFERROR(VLOOKUP(A79,'Cadastro Geral Campistas'!$A:$R,6,0),"")</f>
        <v/>
      </c>
      <c r="E79" s="2">
        <f>IFERROR(VLOOKUP(A79,'Cadastro Geral Campistas'!$A:$R,7,0),"")</f>
        <v/>
      </c>
      <c r="F79" s="3">
        <f>IFERROR(VLOOKUP(A79,'Cadastro Geral Campistas'!$A:$R,9,0),"")</f>
        <v/>
      </c>
      <c r="G79" s="2">
        <f>IFERROR(VLOOKUP(A79,'Cadastro Geral Campistas'!$A:$R,3,0),"")</f>
        <v/>
      </c>
      <c r="H79" s="3">
        <f>IFERROR(VLOOKUP(A79,'Cadastro Geral Campistas'!$A:$R,8,0),"")</f>
        <v/>
      </c>
      <c r="I79" s="103">
        <f>IF(AND(IFERROR(VLOOKUP(A79,'Cadastro Geral Campistas'!$A:$R,18,0),0)&gt;0,COUNTIF($A$79:$A$94,IFERROR(VLOOKUP(A79,'Cadastro Geral Campistas'!$A:$R,18,0),0))&gt;0),"⚠️ CONFLITO! Cônjuge na mesma tribo: "&amp;IFERROR(VLOOKUP(IFERROR(VLOOKUP(A79,'Cadastro Geral Campistas'!$A:$R,18,0),0),'Cadastro Geral Campistas'!$A:$R,2,""),""),TRIM(IF(AND(IFERROR(VLOOKUP(A79,'Cadastro Geral Campistas'!$A:$R,10,0),"")&lt;&gt;"",LOWER(TRIM(IFERROR(VLOOKUP(A79,'Cadastro Geral Campistas'!$A:$R,10,0),"")))&lt;&gt;"não",LOWER(TRIM(IFERROR(VLOOKUP(A79,'Cadastro Geral Campistas'!$A:$R,10,0),"")))&lt;&gt;"nao",LOWER(TRIM(IFERROR(VLOOKUP(A79,'Cadastro Geral Campistas'!$A:$R,10,0),"")))&lt;&gt;"0"),IFERROR(VLOOKUP(A79,'Cadastro Geral Campistas'!$A:$R,10,0),"")&amp;IF(AND(IFERROR(VLOOKUP(A79,'Cadastro Geral Campistas'!$A:$R,15,0),"")&lt;&gt;"",LOWER(TRIM(IFERROR(VLOOKUP(A79,'Cadastro Geral Campistas'!$A:$R,15,0),"")))&lt;&gt;"não",LOWER(TRIM(IFERROR(VLOOKUP(A79,'Cadastro Geral Campistas'!$A:$R,15,0),"")))&lt;&gt;"nao",LOWER(TRIM(IFERROR(VLOOKUP(A79,'Cadastro Geral Campistas'!$A:$R,15,0),"")))&lt;&gt;"0")," | Alergia: "&amp;IFERROR(VLOOKUP(A79,'Cadastro Geral Campistas'!$A:$R,15,0),""),""),IF(AND(IFERROR(VLOOKUP(A79,'Cadastro Geral Campistas'!$A:$R,15,0),"")&lt;&gt;"",LOWER(TRIM(IFERROR(VLOOKUP(A79,'Cadastro Geral Campistas'!$A:$R,15,0),"")))&lt;&gt;"não",LOWER(TRIM(IFERROR(VLOOKUP(A79,'Cadastro Geral Campistas'!$A:$R,15,0),"")))&lt;&gt;"nao",LOWER(TRIM(IFERROR(VLOOKUP(A79,'Cadastro Geral Campistas'!$A:$R,15,0),"")))&lt;&gt;"0"),"Alergia: "&amp;IFERROR(VLOOKUP(A79,'Cadastro Geral Campistas'!$A:$R,15,0),""),""))))</f>
        <v/>
      </c>
      <c r="J79" s="56">
        <f>IFERROR(VLOOKUP(A79,'Cadastro Geral Campistas'!$A:$R,4,0),"")</f>
        <v/>
      </c>
    </row>
    <row r="80" ht="18" customHeight="1" s="121">
      <c r="A80" s="71" t="n">
        <v>10</v>
      </c>
      <c r="B80" s="25">
        <f>IFERROR(VLOOKUP(A80,'Cadastro Geral Campistas'!$A:$R,2,0),"")</f>
        <v/>
      </c>
      <c r="C80" s="26">
        <f>IFERROR(VLOOKUP(A80,'Cadastro Geral Campistas'!$A:$R,5,0),"")</f>
        <v/>
      </c>
      <c r="D80" s="26">
        <f>IFERROR(VLOOKUP(A80,'Cadastro Geral Campistas'!$A:$R,6,0),"")</f>
        <v/>
      </c>
      <c r="E80" s="26">
        <f>IFERROR(VLOOKUP(A80,'Cadastro Geral Campistas'!$A:$R,7,0),"")</f>
        <v/>
      </c>
      <c r="F80" s="25">
        <f>IFERROR(VLOOKUP(A80,'Cadastro Geral Campistas'!$A:$R,9,0),"")</f>
        <v/>
      </c>
      <c r="G80" s="26">
        <f>IFERROR(VLOOKUP(A80,'Cadastro Geral Campistas'!$A:$R,3,0),"")</f>
        <v/>
      </c>
      <c r="H80" s="25">
        <f>IFERROR(VLOOKUP(A80,'Cadastro Geral Campistas'!$A:$R,8,0),"")</f>
        <v/>
      </c>
      <c r="I80" s="107">
        <f>IF(AND(IFERROR(VLOOKUP(A80,'Cadastro Geral Campistas'!$A:$R,18,0),0)&gt;0,COUNTIF($A$79:$A$94,IFERROR(VLOOKUP(A80,'Cadastro Geral Campistas'!$A:$R,18,0),0))&gt;0),"⚠️ CONFLITO! Cônjuge na mesma tribo: "&amp;IFERROR(VLOOKUP(IFERROR(VLOOKUP(A80,'Cadastro Geral Campistas'!$A:$R,18,0),0),'Cadastro Geral Campistas'!$A:$R,2,""),""),TRIM(IF(AND(IFERROR(VLOOKUP(A80,'Cadastro Geral Campistas'!$A:$R,10,0),"")&lt;&gt;"",LOWER(TRIM(IFERROR(VLOOKUP(A80,'Cadastro Geral Campistas'!$A:$R,10,0),"")))&lt;&gt;"não",LOWER(TRIM(IFERROR(VLOOKUP(A80,'Cadastro Geral Campistas'!$A:$R,10,0),"")))&lt;&gt;"nao",LOWER(TRIM(IFERROR(VLOOKUP(A80,'Cadastro Geral Campistas'!$A:$R,10,0),"")))&lt;&gt;"0"),IFERROR(VLOOKUP(A80,'Cadastro Geral Campistas'!$A:$R,10,0),"")&amp;IF(AND(IFERROR(VLOOKUP(A80,'Cadastro Geral Campistas'!$A:$R,15,0),"")&lt;&gt;"",LOWER(TRIM(IFERROR(VLOOKUP(A80,'Cadastro Geral Campistas'!$A:$R,15,0),"")))&lt;&gt;"não",LOWER(TRIM(IFERROR(VLOOKUP(A80,'Cadastro Geral Campistas'!$A:$R,15,0),"")))&lt;&gt;"nao",LOWER(TRIM(IFERROR(VLOOKUP(A80,'Cadastro Geral Campistas'!$A:$R,15,0),"")))&lt;&gt;"0")," | Alergia: "&amp;IFERROR(VLOOKUP(A80,'Cadastro Geral Campistas'!$A:$R,15,0),""),""),IF(AND(IFERROR(VLOOKUP(A80,'Cadastro Geral Campistas'!$A:$R,15,0),"")&lt;&gt;"",LOWER(TRIM(IFERROR(VLOOKUP(A80,'Cadastro Geral Campistas'!$A:$R,15,0),"")))&lt;&gt;"não",LOWER(TRIM(IFERROR(VLOOKUP(A80,'Cadastro Geral Campistas'!$A:$R,15,0),"")))&lt;&gt;"nao",LOWER(TRIM(IFERROR(VLOOKUP(A80,'Cadastro Geral Campistas'!$A:$R,15,0),"")))&lt;&gt;"0"),"Alergia: "&amp;IFERROR(VLOOKUP(A80,'Cadastro Geral Campistas'!$A:$R,15,0),""),""))))</f>
        <v/>
      </c>
      <c r="J80" s="72">
        <f>IFERROR(VLOOKUP(A80,'Cadastro Geral Campistas'!$A:$R,4,0),"")</f>
        <v/>
      </c>
    </row>
    <row r="81" ht="18" customHeight="1" s="121">
      <c r="A81" s="57" t="n">
        <v>15</v>
      </c>
      <c r="B81" s="7">
        <f>IFERROR(VLOOKUP(A81,'Cadastro Geral Campistas'!$A:$R,2,0),"")</f>
        <v/>
      </c>
      <c r="C81" s="6">
        <f>IFERROR(VLOOKUP(A81,'Cadastro Geral Campistas'!$A:$R,5,0),"")</f>
        <v/>
      </c>
      <c r="D81" s="6">
        <f>IFERROR(VLOOKUP(A81,'Cadastro Geral Campistas'!$A:$R,6,0),"")</f>
        <v/>
      </c>
      <c r="E81" s="6">
        <f>IFERROR(VLOOKUP(A81,'Cadastro Geral Campistas'!$A:$R,7,0),"")</f>
        <v/>
      </c>
      <c r="F81" s="7">
        <f>IFERROR(VLOOKUP(A81,'Cadastro Geral Campistas'!$A:$R,9,0),"")</f>
        <v/>
      </c>
      <c r="G81" s="6">
        <f>IFERROR(VLOOKUP(A81,'Cadastro Geral Campistas'!$A:$R,3,0),"")</f>
        <v/>
      </c>
      <c r="H81" s="7">
        <f>IFERROR(VLOOKUP(A81,'Cadastro Geral Campistas'!$A:$R,8,0),"")</f>
        <v/>
      </c>
      <c r="I81" s="101">
        <f>IF(AND(IFERROR(VLOOKUP(A81,'Cadastro Geral Campistas'!$A:$R,18,0),0)&gt;0,COUNTIF($A$79:$A$94,IFERROR(VLOOKUP(A81,'Cadastro Geral Campistas'!$A:$R,18,0),0))&gt;0),"⚠️ CONFLITO! Cônjuge na mesma tribo: "&amp;IFERROR(VLOOKUP(IFERROR(VLOOKUP(A81,'Cadastro Geral Campistas'!$A:$R,18,0),0),'Cadastro Geral Campistas'!$A:$R,2,""),""),TRIM(IF(AND(IFERROR(VLOOKUP(A81,'Cadastro Geral Campistas'!$A:$R,10,0),"")&lt;&gt;"",LOWER(TRIM(IFERROR(VLOOKUP(A81,'Cadastro Geral Campistas'!$A:$R,10,0),"")))&lt;&gt;"não",LOWER(TRIM(IFERROR(VLOOKUP(A81,'Cadastro Geral Campistas'!$A:$R,10,0),"")))&lt;&gt;"nao",LOWER(TRIM(IFERROR(VLOOKUP(A81,'Cadastro Geral Campistas'!$A:$R,10,0),"")))&lt;&gt;"0"),IFERROR(VLOOKUP(A81,'Cadastro Geral Campistas'!$A:$R,10,0),"")&amp;IF(AND(IFERROR(VLOOKUP(A81,'Cadastro Geral Campistas'!$A:$R,15,0),"")&lt;&gt;"",LOWER(TRIM(IFERROR(VLOOKUP(A81,'Cadastro Geral Campistas'!$A:$R,15,0),"")))&lt;&gt;"não",LOWER(TRIM(IFERROR(VLOOKUP(A81,'Cadastro Geral Campistas'!$A:$R,15,0),"")))&lt;&gt;"nao",LOWER(TRIM(IFERROR(VLOOKUP(A81,'Cadastro Geral Campistas'!$A:$R,15,0),"")))&lt;&gt;"0")," | Alergia: "&amp;IFERROR(VLOOKUP(A81,'Cadastro Geral Campistas'!$A:$R,15,0),""),""),IF(AND(IFERROR(VLOOKUP(A81,'Cadastro Geral Campistas'!$A:$R,15,0),"")&lt;&gt;"",LOWER(TRIM(IFERROR(VLOOKUP(A81,'Cadastro Geral Campistas'!$A:$R,15,0),"")))&lt;&gt;"não",LOWER(TRIM(IFERROR(VLOOKUP(A81,'Cadastro Geral Campistas'!$A:$R,15,0),"")))&lt;&gt;"nao",LOWER(TRIM(IFERROR(VLOOKUP(A81,'Cadastro Geral Campistas'!$A:$R,15,0),"")))&lt;&gt;"0"),"Alergia: "&amp;IFERROR(VLOOKUP(A81,'Cadastro Geral Campistas'!$A:$R,15,0),""),""))))</f>
        <v/>
      </c>
      <c r="J81" s="58">
        <f>IFERROR(VLOOKUP(A81,'Cadastro Geral Campistas'!$A:$R,4,0),"")</f>
        <v/>
      </c>
    </row>
    <row r="82" ht="18" customHeight="1" s="121">
      <c r="A82" s="71" t="n">
        <v>29</v>
      </c>
      <c r="B82" s="25">
        <f>IFERROR(VLOOKUP(A82,'Cadastro Geral Campistas'!$A:$R,2,0),"")</f>
        <v/>
      </c>
      <c r="C82" s="26">
        <f>IFERROR(VLOOKUP(A82,'Cadastro Geral Campistas'!$A:$R,5,0),"")</f>
        <v/>
      </c>
      <c r="D82" s="26">
        <f>IFERROR(VLOOKUP(A82,'Cadastro Geral Campistas'!$A:$R,6,0),"")</f>
        <v/>
      </c>
      <c r="E82" s="26">
        <f>IFERROR(VLOOKUP(A82,'Cadastro Geral Campistas'!$A:$R,7,0),"")</f>
        <v/>
      </c>
      <c r="F82" s="25">
        <f>IFERROR(VLOOKUP(A82,'Cadastro Geral Campistas'!$A:$R,9,0),"")</f>
        <v/>
      </c>
      <c r="G82" s="26">
        <f>IFERROR(VLOOKUP(A82,'Cadastro Geral Campistas'!$A:$R,3,0),"")</f>
        <v/>
      </c>
      <c r="H82" s="25">
        <f>IFERROR(VLOOKUP(A82,'Cadastro Geral Campistas'!$A:$R,8,0),"")</f>
        <v/>
      </c>
      <c r="I82" s="107">
        <f>IF(AND(IFERROR(VLOOKUP(A82,'Cadastro Geral Campistas'!$A:$R,18,0),0)&gt;0,COUNTIF($A$79:$A$94,IFERROR(VLOOKUP(A82,'Cadastro Geral Campistas'!$A:$R,18,0),0))&gt;0),"⚠️ CONFLITO! Cônjuge na mesma tribo: "&amp;IFERROR(VLOOKUP(IFERROR(VLOOKUP(A82,'Cadastro Geral Campistas'!$A:$R,18,0),0),'Cadastro Geral Campistas'!$A:$R,2,""),""),TRIM(IF(AND(IFERROR(VLOOKUP(A82,'Cadastro Geral Campistas'!$A:$R,10,0),"")&lt;&gt;"",LOWER(TRIM(IFERROR(VLOOKUP(A82,'Cadastro Geral Campistas'!$A:$R,10,0),"")))&lt;&gt;"não",LOWER(TRIM(IFERROR(VLOOKUP(A82,'Cadastro Geral Campistas'!$A:$R,10,0),"")))&lt;&gt;"nao",LOWER(TRIM(IFERROR(VLOOKUP(A82,'Cadastro Geral Campistas'!$A:$R,10,0),"")))&lt;&gt;"0"),IFERROR(VLOOKUP(A82,'Cadastro Geral Campistas'!$A:$R,10,0),"")&amp;IF(AND(IFERROR(VLOOKUP(A82,'Cadastro Geral Campistas'!$A:$R,15,0),"")&lt;&gt;"",LOWER(TRIM(IFERROR(VLOOKUP(A82,'Cadastro Geral Campistas'!$A:$R,15,0),"")))&lt;&gt;"não",LOWER(TRIM(IFERROR(VLOOKUP(A82,'Cadastro Geral Campistas'!$A:$R,15,0),"")))&lt;&gt;"nao",LOWER(TRIM(IFERROR(VLOOKUP(A82,'Cadastro Geral Campistas'!$A:$R,15,0),"")))&lt;&gt;"0")," | Alergia: "&amp;IFERROR(VLOOKUP(A82,'Cadastro Geral Campistas'!$A:$R,15,0),""),""),IF(AND(IFERROR(VLOOKUP(A82,'Cadastro Geral Campistas'!$A:$R,15,0),"")&lt;&gt;"",LOWER(TRIM(IFERROR(VLOOKUP(A82,'Cadastro Geral Campistas'!$A:$R,15,0),"")))&lt;&gt;"não",LOWER(TRIM(IFERROR(VLOOKUP(A82,'Cadastro Geral Campistas'!$A:$R,15,0),"")))&lt;&gt;"nao",LOWER(TRIM(IFERROR(VLOOKUP(A82,'Cadastro Geral Campistas'!$A:$R,15,0),"")))&lt;&gt;"0"),"Alergia: "&amp;IFERROR(VLOOKUP(A82,'Cadastro Geral Campistas'!$A:$R,15,0),""),""))))</f>
        <v/>
      </c>
      <c r="J82" s="72">
        <f>IFERROR(VLOOKUP(A82,'Cadastro Geral Campistas'!$A:$R,4,0),"")</f>
        <v/>
      </c>
    </row>
    <row r="83" ht="18" customHeight="1" s="121">
      <c r="A83" s="57" t="n">
        <v>39</v>
      </c>
      <c r="B83" s="7">
        <f>IFERROR(VLOOKUP(A83,'Cadastro Geral Campistas'!$A:$R,2,0),"")</f>
        <v/>
      </c>
      <c r="C83" s="6">
        <f>IFERROR(VLOOKUP(A83,'Cadastro Geral Campistas'!$A:$R,5,0),"")</f>
        <v/>
      </c>
      <c r="D83" s="6">
        <f>IFERROR(VLOOKUP(A83,'Cadastro Geral Campistas'!$A:$R,6,0),"")</f>
        <v/>
      </c>
      <c r="E83" s="6">
        <f>IFERROR(VLOOKUP(A83,'Cadastro Geral Campistas'!$A:$R,7,0),"")</f>
        <v/>
      </c>
      <c r="F83" s="7">
        <f>IFERROR(VLOOKUP(A83,'Cadastro Geral Campistas'!$A:$R,9,0),"")</f>
        <v/>
      </c>
      <c r="G83" s="6">
        <f>IFERROR(VLOOKUP(A83,'Cadastro Geral Campistas'!$A:$R,3,0),"")</f>
        <v/>
      </c>
      <c r="H83" s="7">
        <f>IFERROR(VLOOKUP(A83,'Cadastro Geral Campistas'!$A:$R,8,0),"")</f>
        <v/>
      </c>
      <c r="I83" s="101">
        <f>IF(AND(IFERROR(VLOOKUP(A83,'Cadastro Geral Campistas'!$A:$R,18,0),0)&gt;0,COUNTIF($A$79:$A$94,IFERROR(VLOOKUP(A83,'Cadastro Geral Campistas'!$A:$R,18,0),0))&gt;0),"⚠️ CONFLITO! Cônjuge na mesma tribo: "&amp;IFERROR(VLOOKUP(IFERROR(VLOOKUP(A83,'Cadastro Geral Campistas'!$A:$R,18,0),0),'Cadastro Geral Campistas'!$A:$R,2,""),""),TRIM(IF(AND(IFERROR(VLOOKUP(A83,'Cadastro Geral Campistas'!$A:$R,10,0),"")&lt;&gt;"",LOWER(TRIM(IFERROR(VLOOKUP(A83,'Cadastro Geral Campistas'!$A:$R,10,0),"")))&lt;&gt;"não",LOWER(TRIM(IFERROR(VLOOKUP(A83,'Cadastro Geral Campistas'!$A:$R,10,0),"")))&lt;&gt;"nao",LOWER(TRIM(IFERROR(VLOOKUP(A83,'Cadastro Geral Campistas'!$A:$R,10,0),"")))&lt;&gt;"0"),IFERROR(VLOOKUP(A83,'Cadastro Geral Campistas'!$A:$R,10,0),"")&amp;IF(AND(IFERROR(VLOOKUP(A83,'Cadastro Geral Campistas'!$A:$R,15,0),"")&lt;&gt;"",LOWER(TRIM(IFERROR(VLOOKUP(A83,'Cadastro Geral Campistas'!$A:$R,15,0),"")))&lt;&gt;"não",LOWER(TRIM(IFERROR(VLOOKUP(A83,'Cadastro Geral Campistas'!$A:$R,15,0),"")))&lt;&gt;"nao",LOWER(TRIM(IFERROR(VLOOKUP(A83,'Cadastro Geral Campistas'!$A:$R,15,0),"")))&lt;&gt;"0")," | Alergia: "&amp;IFERROR(VLOOKUP(A83,'Cadastro Geral Campistas'!$A:$R,15,0),""),""),IF(AND(IFERROR(VLOOKUP(A83,'Cadastro Geral Campistas'!$A:$R,15,0),"")&lt;&gt;"",LOWER(TRIM(IFERROR(VLOOKUP(A83,'Cadastro Geral Campistas'!$A:$R,15,0),"")))&lt;&gt;"não",LOWER(TRIM(IFERROR(VLOOKUP(A83,'Cadastro Geral Campistas'!$A:$R,15,0),"")))&lt;&gt;"nao",LOWER(TRIM(IFERROR(VLOOKUP(A83,'Cadastro Geral Campistas'!$A:$R,15,0),"")))&lt;&gt;"0"),"Alergia: "&amp;IFERROR(VLOOKUP(A83,'Cadastro Geral Campistas'!$A:$R,15,0),""),""))))</f>
        <v/>
      </c>
      <c r="J83" s="58">
        <f>IFERROR(VLOOKUP(A83,'Cadastro Geral Campistas'!$A:$R,4,0),"")</f>
        <v/>
      </c>
    </row>
    <row r="84" ht="18" customHeight="1" s="121">
      <c r="A84" s="71" t="n">
        <v>59</v>
      </c>
      <c r="B84" s="25">
        <f>IFERROR(VLOOKUP(A84,'Cadastro Geral Campistas'!$A:$R,2,0),"")</f>
        <v/>
      </c>
      <c r="C84" s="26">
        <f>IFERROR(VLOOKUP(A84,'Cadastro Geral Campistas'!$A:$R,5,0),"")</f>
        <v/>
      </c>
      <c r="D84" s="26">
        <f>IFERROR(VLOOKUP(A84,'Cadastro Geral Campistas'!$A:$R,6,0),"")</f>
        <v/>
      </c>
      <c r="E84" s="26">
        <f>IFERROR(VLOOKUP(A84,'Cadastro Geral Campistas'!$A:$R,7,0),"")</f>
        <v/>
      </c>
      <c r="F84" s="25">
        <f>IFERROR(VLOOKUP(A84,'Cadastro Geral Campistas'!$A:$R,9,0),"")</f>
        <v/>
      </c>
      <c r="G84" s="26">
        <f>IFERROR(VLOOKUP(A84,'Cadastro Geral Campistas'!$A:$R,3,0),"")</f>
        <v/>
      </c>
      <c r="H84" s="25">
        <f>IFERROR(VLOOKUP(A84,'Cadastro Geral Campistas'!$A:$R,8,0),"")</f>
        <v/>
      </c>
      <c r="I84" s="107">
        <f>IF(AND(IFERROR(VLOOKUP(A84,'Cadastro Geral Campistas'!$A:$R,18,0),0)&gt;0,COUNTIF($A$79:$A$94,IFERROR(VLOOKUP(A84,'Cadastro Geral Campistas'!$A:$R,18,0),0))&gt;0),"⚠️ CONFLITO! Cônjuge na mesma tribo: "&amp;IFERROR(VLOOKUP(IFERROR(VLOOKUP(A84,'Cadastro Geral Campistas'!$A:$R,18,0),0),'Cadastro Geral Campistas'!$A:$R,2,""),""),TRIM(IF(AND(IFERROR(VLOOKUP(A84,'Cadastro Geral Campistas'!$A:$R,10,0),"")&lt;&gt;"",LOWER(TRIM(IFERROR(VLOOKUP(A84,'Cadastro Geral Campistas'!$A:$R,10,0),"")))&lt;&gt;"não",LOWER(TRIM(IFERROR(VLOOKUP(A84,'Cadastro Geral Campistas'!$A:$R,10,0),"")))&lt;&gt;"nao",LOWER(TRIM(IFERROR(VLOOKUP(A84,'Cadastro Geral Campistas'!$A:$R,10,0),"")))&lt;&gt;"0"),IFERROR(VLOOKUP(A84,'Cadastro Geral Campistas'!$A:$R,10,0),"")&amp;IF(AND(IFERROR(VLOOKUP(A84,'Cadastro Geral Campistas'!$A:$R,15,0),"")&lt;&gt;"",LOWER(TRIM(IFERROR(VLOOKUP(A84,'Cadastro Geral Campistas'!$A:$R,15,0),"")))&lt;&gt;"não",LOWER(TRIM(IFERROR(VLOOKUP(A84,'Cadastro Geral Campistas'!$A:$R,15,0),"")))&lt;&gt;"nao",LOWER(TRIM(IFERROR(VLOOKUP(A84,'Cadastro Geral Campistas'!$A:$R,15,0),"")))&lt;&gt;"0")," | Alergia: "&amp;IFERROR(VLOOKUP(A84,'Cadastro Geral Campistas'!$A:$R,15,0),""),""),IF(AND(IFERROR(VLOOKUP(A84,'Cadastro Geral Campistas'!$A:$R,15,0),"")&lt;&gt;"",LOWER(TRIM(IFERROR(VLOOKUP(A84,'Cadastro Geral Campistas'!$A:$R,15,0),"")))&lt;&gt;"não",LOWER(TRIM(IFERROR(VLOOKUP(A84,'Cadastro Geral Campistas'!$A:$R,15,0),"")))&lt;&gt;"nao",LOWER(TRIM(IFERROR(VLOOKUP(A84,'Cadastro Geral Campistas'!$A:$R,15,0),"")))&lt;&gt;"0"),"Alergia: "&amp;IFERROR(VLOOKUP(A84,'Cadastro Geral Campistas'!$A:$R,15,0),""),""))))</f>
        <v/>
      </c>
      <c r="J84" s="72">
        <f>IFERROR(VLOOKUP(A84,'Cadastro Geral Campistas'!$A:$R,4,0),"")</f>
        <v/>
      </c>
    </row>
    <row r="85" ht="18" customHeight="1" s="121">
      <c r="A85" s="57" t="n">
        <v>74</v>
      </c>
      <c r="B85" s="7">
        <f>IFERROR(VLOOKUP(A85,'Cadastro Geral Campistas'!$A:$R,2,0),"")</f>
        <v/>
      </c>
      <c r="C85" s="6">
        <f>IFERROR(VLOOKUP(A85,'Cadastro Geral Campistas'!$A:$R,5,0),"")</f>
        <v/>
      </c>
      <c r="D85" s="6">
        <f>IFERROR(VLOOKUP(A85,'Cadastro Geral Campistas'!$A:$R,6,0),"")</f>
        <v/>
      </c>
      <c r="E85" s="6">
        <f>IFERROR(VLOOKUP(A85,'Cadastro Geral Campistas'!$A:$R,7,0),"")</f>
        <v/>
      </c>
      <c r="F85" s="7">
        <f>IFERROR(VLOOKUP(A85,'Cadastro Geral Campistas'!$A:$R,9,0),"")</f>
        <v/>
      </c>
      <c r="G85" s="6">
        <f>IFERROR(VLOOKUP(A85,'Cadastro Geral Campistas'!$A:$R,3,0),"")</f>
        <v/>
      </c>
      <c r="H85" s="7">
        <f>IFERROR(VLOOKUP(A85,'Cadastro Geral Campistas'!$A:$R,8,0),"")</f>
        <v/>
      </c>
      <c r="I85" s="101">
        <f>IF(AND(IFERROR(VLOOKUP(A85,'Cadastro Geral Campistas'!$A:$R,18,0),0)&gt;0,COUNTIF($A$79:$A$94,IFERROR(VLOOKUP(A85,'Cadastro Geral Campistas'!$A:$R,18,0),0))&gt;0),"⚠️ CONFLITO! Cônjuge na mesma tribo: "&amp;IFERROR(VLOOKUP(IFERROR(VLOOKUP(A85,'Cadastro Geral Campistas'!$A:$R,18,0),0),'Cadastro Geral Campistas'!$A:$R,2,""),""),TRIM(IF(AND(IFERROR(VLOOKUP(A85,'Cadastro Geral Campistas'!$A:$R,10,0),"")&lt;&gt;"",LOWER(TRIM(IFERROR(VLOOKUP(A85,'Cadastro Geral Campistas'!$A:$R,10,0),"")))&lt;&gt;"não",LOWER(TRIM(IFERROR(VLOOKUP(A85,'Cadastro Geral Campistas'!$A:$R,10,0),"")))&lt;&gt;"nao",LOWER(TRIM(IFERROR(VLOOKUP(A85,'Cadastro Geral Campistas'!$A:$R,10,0),"")))&lt;&gt;"0"),IFERROR(VLOOKUP(A85,'Cadastro Geral Campistas'!$A:$R,10,0),"")&amp;IF(AND(IFERROR(VLOOKUP(A85,'Cadastro Geral Campistas'!$A:$R,15,0),"")&lt;&gt;"",LOWER(TRIM(IFERROR(VLOOKUP(A85,'Cadastro Geral Campistas'!$A:$R,15,0),"")))&lt;&gt;"não",LOWER(TRIM(IFERROR(VLOOKUP(A85,'Cadastro Geral Campistas'!$A:$R,15,0),"")))&lt;&gt;"nao",LOWER(TRIM(IFERROR(VLOOKUP(A85,'Cadastro Geral Campistas'!$A:$R,15,0),"")))&lt;&gt;"0")," | Alergia: "&amp;IFERROR(VLOOKUP(A85,'Cadastro Geral Campistas'!$A:$R,15,0),""),""),IF(AND(IFERROR(VLOOKUP(A85,'Cadastro Geral Campistas'!$A:$R,15,0),"")&lt;&gt;"",LOWER(TRIM(IFERROR(VLOOKUP(A85,'Cadastro Geral Campistas'!$A:$R,15,0),"")))&lt;&gt;"não",LOWER(TRIM(IFERROR(VLOOKUP(A85,'Cadastro Geral Campistas'!$A:$R,15,0),"")))&lt;&gt;"nao",LOWER(TRIM(IFERROR(VLOOKUP(A85,'Cadastro Geral Campistas'!$A:$R,15,0),"")))&lt;&gt;"0"),"Alergia: "&amp;IFERROR(VLOOKUP(A85,'Cadastro Geral Campistas'!$A:$R,15,0),""),""))))</f>
        <v/>
      </c>
      <c r="J85" s="58">
        <f>IFERROR(VLOOKUP(A85,'Cadastro Geral Campistas'!$A:$R,4,0),"")</f>
        <v/>
      </c>
    </row>
    <row r="86" ht="18" customHeight="1" s="121">
      <c r="A86" s="71" t="n">
        <v>117</v>
      </c>
      <c r="B86" s="25">
        <f>IFERROR(VLOOKUP(A86,'Cadastro Geral Campistas'!$A:$R,2,0),"")</f>
        <v/>
      </c>
      <c r="C86" s="26">
        <f>IFERROR(VLOOKUP(A86,'Cadastro Geral Campistas'!$A:$R,5,0),"")</f>
        <v/>
      </c>
      <c r="D86" s="26">
        <f>IFERROR(VLOOKUP(A86,'Cadastro Geral Campistas'!$A:$R,6,0),"")</f>
        <v/>
      </c>
      <c r="E86" s="26">
        <f>IFERROR(VLOOKUP(A86,'Cadastro Geral Campistas'!$A:$R,7,0),"")</f>
        <v/>
      </c>
      <c r="F86" s="25">
        <f>IFERROR(VLOOKUP(A86,'Cadastro Geral Campistas'!$A:$R,9,0),"")</f>
        <v/>
      </c>
      <c r="G86" s="26">
        <f>IFERROR(VLOOKUP(A86,'Cadastro Geral Campistas'!$A:$R,3,0),"")</f>
        <v/>
      </c>
      <c r="H86" s="25">
        <f>IFERROR(VLOOKUP(A86,'Cadastro Geral Campistas'!$A:$R,8,0),"")</f>
        <v/>
      </c>
      <c r="I86" s="107">
        <f>IF(AND(IFERROR(VLOOKUP(A86,'Cadastro Geral Campistas'!$A:$R,18,0),0)&gt;0,COUNTIF($A$79:$A$94,IFERROR(VLOOKUP(A86,'Cadastro Geral Campistas'!$A:$R,18,0),0))&gt;0),"⚠️ CONFLITO! Cônjuge na mesma tribo: "&amp;IFERROR(VLOOKUP(IFERROR(VLOOKUP(A86,'Cadastro Geral Campistas'!$A:$R,18,0),0),'Cadastro Geral Campistas'!$A:$R,2,""),""),TRIM(IF(AND(IFERROR(VLOOKUP(A86,'Cadastro Geral Campistas'!$A:$R,10,0),"")&lt;&gt;"",LOWER(TRIM(IFERROR(VLOOKUP(A86,'Cadastro Geral Campistas'!$A:$R,10,0),"")))&lt;&gt;"não",LOWER(TRIM(IFERROR(VLOOKUP(A86,'Cadastro Geral Campistas'!$A:$R,10,0),"")))&lt;&gt;"nao",LOWER(TRIM(IFERROR(VLOOKUP(A86,'Cadastro Geral Campistas'!$A:$R,10,0),"")))&lt;&gt;"0"),IFERROR(VLOOKUP(A86,'Cadastro Geral Campistas'!$A:$R,10,0),"")&amp;IF(AND(IFERROR(VLOOKUP(A86,'Cadastro Geral Campistas'!$A:$R,15,0),"")&lt;&gt;"",LOWER(TRIM(IFERROR(VLOOKUP(A86,'Cadastro Geral Campistas'!$A:$R,15,0),"")))&lt;&gt;"não",LOWER(TRIM(IFERROR(VLOOKUP(A86,'Cadastro Geral Campistas'!$A:$R,15,0),"")))&lt;&gt;"nao",LOWER(TRIM(IFERROR(VLOOKUP(A86,'Cadastro Geral Campistas'!$A:$R,15,0),"")))&lt;&gt;"0")," | Alergia: "&amp;IFERROR(VLOOKUP(A86,'Cadastro Geral Campistas'!$A:$R,15,0),""),""),IF(AND(IFERROR(VLOOKUP(A86,'Cadastro Geral Campistas'!$A:$R,15,0),"")&lt;&gt;"",LOWER(TRIM(IFERROR(VLOOKUP(A86,'Cadastro Geral Campistas'!$A:$R,15,0),"")))&lt;&gt;"não",LOWER(TRIM(IFERROR(VLOOKUP(A86,'Cadastro Geral Campistas'!$A:$R,15,0),"")))&lt;&gt;"nao",LOWER(TRIM(IFERROR(VLOOKUP(A86,'Cadastro Geral Campistas'!$A:$R,15,0),"")))&lt;&gt;"0"),"Alergia: "&amp;IFERROR(VLOOKUP(A86,'Cadastro Geral Campistas'!$A:$R,15,0),""),""))))</f>
        <v/>
      </c>
      <c r="J86" s="72">
        <f>IFERROR(VLOOKUP(A86,'Cadastro Geral Campistas'!$A:$R,4,0),"")</f>
        <v/>
      </c>
    </row>
    <row r="87" ht="18" customHeight="1" s="121">
      <c r="A87" s="57" t="n">
        <v>5</v>
      </c>
      <c r="B87" s="7">
        <f>IFERROR(VLOOKUP(A87,'Cadastro Geral Campistas'!$A:$R,2,0),"")</f>
        <v/>
      </c>
      <c r="C87" s="6">
        <f>IFERROR(VLOOKUP(A87,'Cadastro Geral Campistas'!$A:$R,5,0),"")</f>
        <v/>
      </c>
      <c r="D87" s="6">
        <f>IFERROR(VLOOKUP(A87,'Cadastro Geral Campistas'!$A:$R,6,0),"")</f>
        <v/>
      </c>
      <c r="E87" s="6">
        <f>IFERROR(VLOOKUP(A87,'Cadastro Geral Campistas'!$A:$R,7,0),"")</f>
        <v/>
      </c>
      <c r="F87" s="7">
        <f>IFERROR(VLOOKUP(A87,'Cadastro Geral Campistas'!$A:$R,9,0),"")</f>
        <v/>
      </c>
      <c r="G87" s="6">
        <f>IFERROR(VLOOKUP(A87,'Cadastro Geral Campistas'!$A:$R,3,0),"")</f>
        <v/>
      </c>
      <c r="H87" s="7">
        <f>IFERROR(VLOOKUP(A87,'Cadastro Geral Campistas'!$A:$R,8,0),"")</f>
        <v/>
      </c>
      <c r="I87" s="101">
        <f>IF(AND(IFERROR(VLOOKUP(A87,'Cadastro Geral Campistas'!$A:$R,18,0),0)&gt;0,COUNTIF($A$79:$A$94,IFERROR(VLOOKUP(A87,'Cadastro Geral Campistas'!$A:$R,18,0),0))&gt;0),"⚠️ CONFLITO! Cônjuge na mesma tribo: "&amp;IFERROR(VLOOKUP(IFERROR(VLOOKUP(A87,'Cadastro Geral Campistas'!$A:$R,18,0),0),'Cadastro Geral Campistas'!$A:$R,2,""),""),TRIM(IF(AND(IFERROR(VLOOKUP(A87,'Cadastro Geral Campistas'!$A:$R,10,0),"")&lt;&gt;"",LOWER(TRIM(IFERROR(VLOOKUP(A87,'Cadastro Geral Campistas'!$A:$R,10,0),"")))&lt;&gt;"não",LOWER(TRIM(IFERROR(VLOOKUP(A87,'Cadastro Geral Campistas'!$A:$R,10,0),"")))&lt;&gt;"nao",LOWER(TRIM(IFERROR(VLOOKUP(A87,'Cadastro Geral Campistas'!$A:$R,10,0),"")))&lt;&gt;"0"),IFERROR(VLOOKUP(A87,'Cadastro Geral Campistas'!$A:$R,10,0),"")&amp;IF(AND(IFERROR(VLOOKUP(A87,'Cadastro Geral Campistas'!$A:$R,15,0),"")&lt;&gt;"",LOWER(TRIM(IFERROR(VLOOKUP(A87,'Cadastro Geral Campistas'!$A:$R,15,0),"")))&lt;&gt;"não",LOWER(TRIM(IFERROR(VLOOKUP(A87,'Cadastro Geral Campistas'!$A:$R,15,0),"")))&lt;&gt;"nao",LOWER(TRIM(IFERROR(VLOOKUP(A87,'Cadastro Geral Campistas'!$A:$R,15,0),"")))&lt;&gt;"0")," | Alergia: "&amp;IFERROR(VLOOKUP(A87,'Cadastro Geral Campistas'!$A:$R,15,0),""),""),IF(AND(IFERROR(VLOOKUP(A87,'Cadastro Geral Campistas'!$A:$R,15,0),"")&lt;&gt;"",LOWER(TRIM(IFERROR(VLOOKUP(A87,'Cadastro Geral Campistas'!$A:$R,15,0),"")))&lt;&gt;"não",LOWER(TRIM(IFERROR(VLOOKUP(A87,'Cadastro Geral Campistas'!$A:$R,15,0),"")))&lt;&gt;"nao",LOWER(TRIM(IFERROR(VLOOKUP(A87,'Cadastro Geral Campistas'!$A:$R,15,0),"")))&lt;&gt;"0"),"Alergia: "&amp;IFERROR(VLOOKUP(A87,'Cadastro Geral Campistas'!$A:$R,15,0),""),""))))</f>
        <v/>
      </c>
      <c r="J87" s="58">
        <f>IFERROR(VLOOKUP(A87,'Cadastro Geral Campistas'!$A:$R,4,0),"")</f>
        <v/>
      </c>
    </row>
    <row r="88" ht="18" customHeight="1" s="121">
      <c r="A88" s="71" t="n">
        <v>11</v>
      </c>
      <c r="B88" s="25">
        <f>IFERROR(VLOOKUP(A88,'Cadastro Geral Campistas'!$A:$R,2,0),"")</f>
        <v/>
      </c>
      <c r="C88" s="26">
        <f>IFERROR(VLOOKUP(A88,'Cadastro Geral Campistas'!$A:$R,5,0),"")</f>
        <v/>
      </c>
      <c r="D88" s="26">
        <f>IFERROR(VLOOKUP(A88,'Cadastro Geral Campistas'!$A:$R,6,0),"")</f>
        <v/>
      </c>
      <c r="E88" s="26">
        <f>IFERROR(VLOOKUP(A88,'Cadastro Geral Campistas'!$A:$R,7,0),"")</f>
        <v/>
      </c>
      <c r="F88" s="25">
        <f>IFERROR(VLOOKUP(A88,'Cadastro Geral Campistas'!$A:$R,9,0),"")</f>
        <v/>
      </c>
      <c r="G88" s="26">
        <f>IFERROR(VLOOKUP(A88,'Cadastro Geral Campistas'!$A:$R,3,0),"")</f>
        <v/>
      </c>
      <c r="H88" s="25">
        <f>IFERROR(VLOOKUP(A88,'Cadastro Geral Campistas'!$A:$R,8,0),"")</f>
        <v/>
      </c>
      <c r="I88" s="107">
        <f>IF(AND(IFERROR(VLOOKUP(A88,'Cadastro Geral Campistas'!$A:$R,18,0),0)&gt;0,COUNTIF($A$79:$A$94,IFERROR(VLOOKUP(A88,'Cadastro Geral Campistas'!$A:$R,18,0),0))&gt;0),"⚠️ CONFLITO! Cônjuge na mesma tribo: "&amp;IFERROR(VLOOKUP(IFERROR(VLOOKUP(A88,'Cadastro Geral Campistas'!$A:$R,18,0),0),'Cadastro Geral Campistas'!$A:$R,2,""),""),TRIM(IF(AND(IFERROR(VLOOKUP(A88,'Cadastro Geral Campistas'!$A:$R,10,0),"")&lt;&gt;"",LOWER(TRIM(IFERROR(VLOOKUP(A88,'Cadastro Geral Campistas'!$A:$R,10,0),"")))&lt;&gt;"não",LOWER(TRIM(IFERROR(VLOOKUP(A88,'Cadastro Geral Campistas'!$A:$R,10,0),"")))&lt;&gt;"nao",LOWER(TRIM(IFERROR(VLOOKUP(A88,'Cadastro Geral Campistas'!$A:$R,10,0),"")))&lt;&gt;"0"),IFERROR(VLOOKUP(A88,'Cadastro Geral Campistas'!$A:$R,10,0),"")&amp;IF(AND(IFERROR(VLOOKUP(A88,'Cadastro Geral Campistas'!$A:$R,15,0),"")&lt;&gt;"",LOWER(TRIM(IFERROR(VLOOKUP(A88,'Cadastro Geral Campistas'!$A:$R,15,0),"")))&lt;&gt;"não",LOWER(TRIM(IFERROR(VLOOKUP(A88,'Cadastro Geral Campistas'!$A:$R,15,0),"")))&lt;&gt;"nao",LOWER(TRIM(IFERROR(VLOOKUP(A88,'Cadastro Geral Campistas'!$A:$R,15,0),"")))&lt;&gt;"0")," | Alergia: "&amp;IFERROR(VLOOKUP(A88,'Cadastro Geral Campistas'!$A:$R,15,0),""),""),IF(AND(IFERROR(VLOOKUP(A88,'Cadastro Geral Campistas'!$A:$R,15,0),"")&lt;&gt;"",LOWER(TRIM(IFERROR(VLOOKUP(A88,'Cadastro Geral Campistas'!$A:$R,15,0),"")))&lt;&gt;"não",LOWER(TRIM(IFERROR(VLOOKUP(A88,'Cadastro Geral Campistas'!$A:$R,15,0),"")))&lt;&gt;"nao",LOWER(TRIM(IFERROR(VLOOKUP(A88,'Cadastro Geral Campistas'!$A:$R,15,0),"")))&lt;&gt;"0"),"Alergia: "&amp;IFERROR(VLOOKUP(A88,'Cadastro Geral Campistas'!$A:$R,15,0),""),""))))</f>
        <v/>
      </c>
      <c r="J88" s="72">
        <f>IFERROR(VLOOKUP(A88,'Cadastro Geral Campistas'!$A:$R,4,0),"")</f>
        <v/>
      </c>
    </row>
    <row r="89" ht="18" customHeight="1" s="121">
      <c r="A89" s="57" t="n">
        <v>17</v>
      </c>
      <c r="B89" s="7">
        <f>IFERROR(VLOOKUP(A89,'Cadastro Geral Campistas'!$A:$R,2,0),"")</f>
        <v/>
      </c>
      <c r="C89" s="6">
        <f>IFERROR(VLOOKUP(A89,'Cadastro Geral Campistas'!$A:$R,5,0),"")</f>
        <v/>
      </c>
      <c r="D89" s="6">
        <f>IFERROR(VLOOKUP(A89,'Cadastro Geral Campistas'!$A:$R,6,0),"")</f>
        <v/>
      </c>
      <c r="E89" s="6">
        <f>IFERROR(VLOOKUP(A89,'Cadastro Geral Campistas'!$A:$R,7,0),"")</f>
        <v/>
      </c>
      <c r="F89" s="7">
        <f>IFERROR(VLOOKUP(A89,'Cadastro Geral Campistas'!$A:$R,9,0),"")</f>
        <v/>
      </c>
      <c r="G89" s="6">
        <f>IFERROR(VLOOKUP(A89,'Cadastro Geral Campistas'!$A:$R,3,0),"")</f>
        <v/>
      </c>
      <c r="H89" s="7">
        <f>IFERROR(VLOOKUP(A89,'Cadastro Geral Campistas'!$A:$R,8,0),"")</f>
        <v/>
      </c>
      <c r="I89" s="101">
        <f>IF(AND(IFERROR(VLOOKUP(A89,'Cadastro Geral Campistas'!$A:$R,18,0),0)&gt;0,COUNTIF($A$79:$A$94,IFERROR(VLOOKUP(A89,'Cadastro Geral Campistas'!$A:$R,18,0),0))&gt;0),"⚠️ CONFLITO! Cônjuge na mesma tribo: "&amp;IFERROR(VLOOKUP(IFERROR(VLOOKUP(A89,'Cadastro Geral Campistas'!$A:$R,18,0),0),'Cadastro Geral Campistas'!$A:$R,2,""),""),TRIM(IF(AND(IFERROR(VLOOKUP(A89,'Cadastro Geral Campistas'!$A:$R,10,0),"")&lt;&gt;"",LOWER(TRIM(IFERROR(VLOOKUP(A89,'Cadastro Geral Campistas'!$A:$R,10,0),"")))&lt;&gt;"não",LOWER(TRIM(IFERROR(VLOOKUP(A89,'Cadastro Geral Campistas'!$A:$R,10,0),"")))&lt;&gt;"nao",LOWER(TRIM(IFERROR(VLOOKUP(A89,'Cadastro Geral Campistas'!$A:$R,10,0),"")))&lt;&gt;"0"),IFERROR(VLOOKUP(A89,'Cadastro Geral Campistas'!$A:$R,10,0),"")&amp;IF(AND(IFERROR(VLOOKUP(A89,'Cadastro Geral Campistas'!$A:$R,15,0),"")&lt;&gt;"",LOWER(TRIM(IFERROR(VLOOKUP(A89,'Cadastro Geral Campistas'!$A:$R,15,0),"")))&lt;&gt;"não",LOWER(TRIM(IFERROR(VLOOKUP(A89,'Cadastro Geral Campistas'!$A:$R,15,0),"")))&lt;&gt;"nao",LOWER(TRIM(IFERROR(VLOOKUP(A89,'Cadastro Geral Campistas'!$A:$R,15,0),"")))&lt;&gt;"0")," | Alergia: "&amp;IFERROR(VLOOKUP(A89,'Cadastro Geral Campistas'!$A:$R,15,0),""),""),IF(AND(IFERROR(VLOOKUP(A89,'Cadastro Geral Campistas'!$A:$R,15,0),"")&lt;&gt;"",LOWER(TRIM(IFERROR(VLOOKUP(A89,'Cadastro Geral Campistas'!$A:$R,15,0),"")))&lt;&gt;"não",LOWER(TRIM(IFERROR(VLOOKUP(A89,'Cadastro Geral Campistas'!$A:$R,15,0),"")))&lt;&gt;"nao",LOWER(TRIM(IFERROR(VLOOKUP(A89,'Cadastro Geral Campistas'!$A:$R,15,0),"")))&lt;&gt;"0"),"Alergia: "&amp;IFERROR(VLOOKUP(A89,'Cadastro Geral Campistas'!$A:$R,15,0),""),""))))</f>
        <v/>
      </c>
      <c r="J89" s="58">
        <f>IFERROR(VLOOKUP(A89,'Cadastro Geral Campistas'!$A:$R,4,0),"")</f>
        <v/>
      </c>
    </row>
    <row r="90" ht="18" customHeight="1" s="121">
      <c r="A90" s="71" t="n">
        <v>35</v>
      </c>
      <c r="B90" s="25">
        <f>IFERROR(VLOOKUP(A90,'Cadastro Geral Campistas'!$A:$R,2,0),"")</f>
        <v/>
      </c>
      <c r="C90" s="26">
        <f>IFERROR(VLOOKUP(A90,'Cadastro Geral Campistas'!$A:$R,5,0),"")</f>
        <v/>
      </c>
      <c r="D90" s="26">
        <f>IFERROR(VLOOKUP(A90,'Cadastro Geral Campistas'!$A:$R,6,0),"")</f>
        <v/>
      </c>
      <c r="E90" s="26">
        <f>IFERROR(VLOOKUP(A90,'Cadastro Geral Campistas'!$A:$R,7,0),"")</f>
        <v/>
      </c>
      <c r="F90" s="25">
        <f>IFERROR(VLOOKUP(A90,'Cadastro Geral Campistas'!$A:$R,9,0),"")</f>
        <v/>
      </c>
      <c r="G90" s="26">
        <f>IFERROR(VLOOKUP(A90,'Cadastro Geral Campistas'!$A:$R,3,0),"")</f>
        <v/>
      </c>
      <c r="H90" s="25">
        <f>IFERROR(VLOOKUP(A90,'Cadastro Geral Campistas'!$A:$R,8,0),"")</f>
        <v/>
      </c>
      <c r="I90" s="107">
        <f>IF(AND(IFERROR(VLOOKUP(A90,'Cadastro Geral Campistas'!$A:$R,18,0),0)&gt;0,COUNTIF($A$79:$A$94,IFERROR(VLOOKUP(A90,'Cadastro Geral Campistas'!$A:$R,18,0),0))&gt;0),"⚠️ CONFLITO! Cônjuge na mesma tribo: "&amp;IFERROR(VLOOKUP(IFERROR(VLOOKUP(A90,'Cadastro Geral Campistas'!$A:$R,18,0),0),'Cadastro Geral Campistas'!$A:$R,2,""),""),TRIM(IF(AND(IFERROR(VLOOKUP(A90,'Cadastro Geral Campistas'!$A:$R,10,0),"")&lt;&gt;"",LOWER(TRIM(IFERROR(VLOOKUP(A90,'Cadastro Geral Campistas'!$A:$R,10,0),"")))&lt;&gt;"não",LOWER(TRIM(IFERROR(VLOOKUP(A90,'Cadastro Geral Campistas'!$A:$R,10,0),"")))&lt;&gt;"nao",LOWER(TRIM(IFERROR(VLOOKUP(A90,'Cadastro Geral Campistas'!$A:$R,10,0),"")))&lt;&gt;"0"),IFERROR(VLOOKUP(A90,'Cadastro Geral Campistas'!$A:$R,10,0),"")&amp;IF(AND(IFERROR(VLOOKUP(A90,'Cadastro Geral Campistas'!$A:$R,15,0),"")&lt;&gt;"",LOWER(TRIM(IFERROR(VLOOKUP(A90,'Cadastro Geral Campistas'!$A:$R,15,0),"")))&lt;&gt;"não",LOWER(TRIM(IFERROR(VLOOKUP(A90,'Cadastro Geral Campistas'!$A:$R,15,0),"")))&lt;&gt;"nao",LOWER(TRIM(IFERROR(VLOOKUP(A90,'Cadastro Geral Campistas'!$A:$R,15,0),"")))&lt;&gt;"0")," | Alergia: "&amp;IFERROR(VLOOKUP(A90,'Cadastro Geral Campistas'!$A:$R,15,0),""),""),IF(AND(IFERROR(VLOOKUP(A90,'Cadastro Geral Campistas'!$A:$R,15,0),"")&lt;&gt;"",LOWER(TRIM(IFERROR(VLOOKUP(A90,'Cadastro Geral Campistas'!$A:$R,15,0),"")))&lt;&gt;"não",LOWER(TRIM(IFERROR(VLOOKUP(A90,'Cadastro Geral Campistas'!$A:$R,15,0),"")))&lt;&gt;"nao",LOWER(TRIM(IFERROR(VLOOKUP(A90,'Cadastro Geral Campistas'!$A:$R,15,0),"")))&lt;&gt;"0"),"Alergia: "&amp;IFERROR(VLOOKUP(A90,'Cadastro Geral Campistas'!$A:$R,15,0),""),""))))</f>
        <v/>
      </c>
      <c r="J90" s="72">
        <f>IFERROR(VLOOKUP(A90,'Cadastro Geral Campistas'!$A:$R,4,0),"")</f>
        <v/>
      </c>
    </row>
    <row r="91" ht="18" customHeight="1" s="121">
      <c r="A91" s="57" t="n">
        <v>46</v>
      </c>
      <c r="B91" s="7">
        <f>IFERROR(VLOOKUP(A91,'Cadastro Geral Campistas'!$A:$R,2,0),"")</f>
        <v/>
      </c>
      <c r="C91" s="6">
        <f>IFERROR(VLOOKUP(A91,'Cadastro Geral Campistas'!$A:$R,5,0),"")</f>
        <v/>
      </c>
      <c r="D91" s="6">
        <f>IFERROR(VLOOKUP(A91,'Cadastro Geral Campistas'!$A:$R,6,0),"")</f>
        <v/>
      </c>
      <c r="E91" s="6">
        <f>IFERROR(VLOOKUP(A91,'Cadastro Geral Campistas'!$A:$R,7,0),"")</f>
        <v/>
      </c>
      <c r="F91" s="7">
        <f>IFERROR(VLOOKUP(A91,'Cadastro Geral Campistas'!$A:$R,9,0),"")</f>
        <v/>
      </c>
      <c r="G91" s="6">
        <f>IFERROR(VLOOKUP(A91,'Cadastro Geral Campistas'!$A:$R,3,0),"")</f>
        <v/>
      </c>
      <c r="H91" s="7">
        <f>IFERROR(VLOOKUP(A91,'Cadastro Geral Campistas'!$A:$R,8,0),"")</f>
        <v/>
      </c>
      <c r="I91" s="101">
        <f>IF(AND(IFERROR(VLOOKUP(A91,'Cadastro Geral Campistas'!$A:$R,18,0),0)&gt;0,COUNTIF($A$79:$A$94,IFERROR(VLOOKUP(A91,'Cadastro Geral Campistas'!$A:$R,18,0),0))&gt;0),"⚠️ CONFLITO! Cônjuge na mesma tribo: "&amp;IFERROR(VLOOKUP(IFERROR(VLOOKUP(A91,'Cadastro Geral Campistas'!$A:$R,18,0),0),'Cadastro Geral Campistas'!$A:$R,2,""),""),TRIM(IF(AND(IFERROR(VLOOKUP(A91,'Cadastro Geral Campistas'!$A:$R,10,0),"")&lt;&gt;"",LOWER(TRIM(IFERROR(VLOOKUP(A91,'Cadastro Geral Campistas'!$A:$R,10,0),"")))&lt;&gt;"não",LOWER(TRIM(IFERROR(VLOOKUP(A91,'Cadastro Geral Campistas'!$A:$R,10,0),"")))&lt;&gt;"nao",LOWER(TRIM(IFERROR(VLOOKUP(A91,'Cadastro Geral Campistas'!$A:$R,10,0),"")))&lt;&gt;"0"),IFERROR(VLOOKUP(A91,'Cadastro Geral Campistas'!$A:$R,10,0),"")&amp;IF(AND(IFERROR(VLOOKUP(A91,'Cadastro Geral Campistas'!$A:$R,15,0),"")&lt;&gt;"",LOWER(TRIM(IFERROR(VLOOKUP(A91,'Cadastro Geral Campistas'!$A:$R,15,0),"")))&lt;&gt;"não",LOWER(TRIM(IFERROR(VLOOKUP(A91,'Cadastro Geral Campistas'!$A:$R,15,0),"")))&lt;&gt;"nao",LOWER(TRIM(IFERROR(VLOOKUP(A91,'Cadastro Geral Campistas'!$A:$R,15,0),"")))&lt;&gt;"0")," | Alergia: "&amp;IFERROR(VLOOKUP(A91,'Cadastro Geral Campistas'!$A:$R,15,0),""),""),IF(AND(IFERROR(VLOOKUP(A91,'Cadastro Geral Campistas'!$A:$R,15,0),"")&lt;&gt;"",LOWER(TRIM(IFERROR(VLOOKUP(A91,'Cadastro Geral Campistas'!$A:$R,15,0),"")))&lt;&gt;"não",LOWER(TRIM(IFERROR(VLOOKUP(A91,'Cadastro Geral Campistas'!$A:$R,15,0),"")))&lt;&gt;"nao",LOWER(TRIM(IFERROR(VLOOKUP(A91,'Cadastro Geral Campistas'!$A:$R,15,0),"")))&lt;&gt;"0"),"Alergia: "&amp;IFERROR(VLOOKUP(A91,'Cadastro Geral Campistas'!$A:$R,15,0),""),""))))</f>
        <v/>
      </c>
      <c r="J91" s="58">
        <f>IFERROR(VLOOKUP(A91,'Cadastro Geral Campistas'!$A:$R,4,0),"")</f>
        <v/>
      </c>
    </row>
    <row r="92" ht="18" customHeight="1" s="121">
      <c r="A92" s="71" t="n">
        <v>48</v>
      </c>
      <c r="B92" s="25">
        <f>IFERROR(VLOOKUP(A92,'Cadastro Geral Campistas'!$A:$R,2,0),"")</f>
        <v/>
      </c>
      <c r="C92" s="26">
        <f>IFERROR(VLOOKUP(A92,'Cadastro Geral Campistas'!$A:$R,5,0),"")</f>
        <v/>
      </c>
      <c r="D92" s="26">
        <f>IFERROR(VLOOKUP(A92,'Cadastro Geral Campistas'!$A:$R,6,0),"")</f>
        <v/>
      </c>
      <c r="E92" s="26">
        <f>IFERROR(VLOOKUP(A92,'Cadastro Geral Campistas'!$A:$R,7,0),"")</f>
        <v/>
      </c>
      <c r="F92" s="25">
        <f>IFERROR(VLOOKUP(A92,'Cadastro Geral Campistas'!$A:$R,9,0),"")</f>
        <v/>
      </c>
      <c r="G92" s="26">
        <f>IFERROR(VLOOKUP(A92,'Cadastro Geral Campistas'!$A:$R,3,0),"")</f>
        <v/>
      </c>
      <c r="H92" s="25">
        <f>IFERROR(VLOOKUP(A92,'Cadastro Geral Campistas'!$A:$R,8,0),"")</f>
        <v/>
      </c>
      <c r="I92" s="107">
        <f>IF(AND(IFERROR(VLOOKUP(A92,'Cadastro Geral Campistas'!$A:$R,18,0),0)&gt;0,COUNTIF($A$79:$A$94,IFERROR(VLOOKUP(A92,'Cadastro Geral Campistas'!$A:$R,18,0),0))&gt;0),"⚠️ CONFLITO! Cônjuge na mesma tribo: "&amp;IFERROR(VLOOKUP(IFERROR(VLOOKUP(A92,'Cadastro Geral Campistas'!$A:$R,18,0),0),'Cadastro Geral Campistas'!$A:$R,2,""),""),TRIM(IF(AND(IFERROR(VLOOKUP(A92,'Cadastro Geral Campistas'!$A:$R,10,0),"")&lt;&gt;"",LOWER(TRIM(IFERROR(VLOOKUP(A92,'Cadastro Geral Campistas'!$A:$R,10,0),"")))&lt;&gt;"não",LOWER(TRIM(IFERROR(VLOOKUP(A92,'Cadastro Geral Campistas'!$A:$R,10,0),"")))&lt;&gt;"nao",LOWER(TRIM(IFERROR(VLOOKUP(A92,'Cadastro Geral Campistas'!$A:$R,10,0),"")))&lt;&gt;"0"),IFERROR(VLOOKUP(A92,'Cadastro Geral Campistas'!$A:$R,10,0),"")&amp;IF(AND(IFERROR(VLOOKUP(A92,'Cadastro Geral Campistas'!$A:$R,15,0),"")&lt;&gt;"",LOWER(TRIM(IFERROR(VLOOKUP(A92,'Cadastro Geral Campistas'!$A:$R,15,0),"")))&lt;&gt;"não",LOWER(TRIM(IFERROR(VLOOKUP(A92,'Cadastro Geral Campistas'!$A:$R,15,0),"")))&lt;&gt;"nao",LOWER(TRIM(IFERROR(VLOOKUP(A92,'Cadastro Geral Campistas'!$A:$R,15,0),"")))&lt;&gt;"0")," | Alergia: "&amp;IFERROR(VLOOKUP(A92,'Cadastro Geral Campistas'!$A:$R,15,0),""),""),IF(AND(IFERROR(VLOOKUP(A92,'Cadastro Geral Campistas'!$A:$R,15,0),"")&lt;&gt;"",LOWER(TRIM(IFERROR(VLOOKUP(A92,'Cadastro Geral Campistas'!$A:$R,15,0),"")))&lt;&gt;"não",LOWER(TRIM(IFERROR(VLOOKUP(A92,'Cadastro Geral Campistas'!$A:$R,15,0),"")))&lt;&gt;"nao",LOWER(TRIM(IFERROR(VLOOKUP(A92,'Cadastro Geral Campistas'!$A:$R,15,0),"")))&lt;&gt;"0"),"Alergia: "&amp;IFERROR(VLOOKUP(A92,'Cadastro Geral Campistas'!$A:$R,15,0),""),""))))</f>
        <v/>
      </c>
      <c r="J92" s="72">
        <f>IFERROR(VLOOKUP(A92,'Cadastro Geral Campistas'!$A:$R,4,0),"")</f>
        <v/>
      </c>
    </row>
    <row r="93" ht="18" customHeight="1" s="121">
      <c r="A93" s="57" t="n">
        <v>112</v>
      </c>
      <c r="B93" s="7">
        <f>IFERROR(VLOOKUP(A93,'Cadastro Geral Campistas'!$A:$R,2,0),"")</f>
        <v/>
      </c>
      <c r="C93" s="6">
        <f>IFERROR(VLOOKUP(A93,'Cadastro Geral Campistas'!$A:$R,5,0),"")</f>
        <v/>
      </c>
      <c r="D93" s="6">
        <f>IFERROR(VLOOKUP(A93,'Cadastro Geral Campistas'!$A:$R,6,0),"")</f>
        <v/>
      </c>
      <c r="E93" s="6">
        <f>IFERROR(VLOOKUP(A93,'Cadastro Geral Campistas'!$A:$R,7,0),"")</f>
        <v/>
      </c>
      <c r="F93" s="7">
        <f>IFERROR(VLOOKUP(A93,'Cadastro Geral Campistas'!$A:$R,9,0),"")</f>
        <v/>
      </c>
      <c r="G93" s="6">
        <f>IFERROR(VLOOKUP(A93,'Cadastro Geral Campistas'!$A:$R,3,0),"")</f>
        <v/>
      </c>
      <c r="H93" s="7">
        <f>IFERROR(VLOOKUP(A93,'Cadastro Geral Campistas'!$A:$R,8,0),"")</f>
        <v/>
      </c>
      <c r="I93" s="101">
        <f>IF(AND(IFERROR(VLOOKUP(A93,'Cadastro Geral Campistas'!$A:$R,18,0),0)&gt;0,COUNTIF($A$79:$A$94,IFERROR(VLOOKUP(A93,'Cadastro Geral Campistas'!$A:$R,18,0),0))&gt;0),"⚠️ CONFLITO! Cônjuge na mesma tribo: "&amp;IFERROR(VLOOKUP(IFERROR(VLOOKUP(A93,'Cadastro Geral Campistas'!$A:$R,18,0),0),'Cadastro Geral Campistas'!$A:$R,2,""),""),TRIM(IF(AND(IFERROR(VLOOKUP(A93,'Cadastro Geral Campistas'!$A:$R,10,0),"")&lt;&gt;"",LOWER(TRIM(IFERROR(VLOOKUP(A93,'Cadastro Geral Campistas'!$A:$R,10,0),"")))&lt;&gt;"não",LOWER(TRIM(IFERROR(VLOOKUP(A93,'Cadastro Geral Campistas'!$A:$R,10,0),"")))&lt;&gt;"nao",LOWER(TRIM(IFERROR(VLOOKUP(A93,'Cadastro Geral Campistas'!$A:$R,10,0),"")))&lt;&gt;"0"),IFERROR(VLOOKUP(A93,'Cadastro Geral Campistas'!$A:$R,10,0),"")&amp;IF(AND(IFERROR(VLOOKUP(A93,'Cadastro Geral Campistas'!$A:$R,15,0),"")&lt;&gt;"",LOWER(TRIM(IFERROR(VLOOKUP(A93,'Cadastro Geral Campistas'!$A:$R,15,0),"")))&lt;&gt;"não",LOWER(TRIM(IFERROR(VLOOKUP(A93,'Cadastro Geral Campistas'!$A:$R,15,0),"")))&lt;&gt;"nao",LOWER(TRIM(IFERROR(VLOOKUP(A93,'Cadastro Geral Campistas'!$A:$R,15,0),"")))&lt;&gt;"0")," | Alergia: "&amp;IFERROR(VLOOKUP(A93,'Cadastro Geral Campistas'!$A:$R,15,0),""),""),IF(AND(IFERROR(VLOOKUP(A93,'Cadastro Geral Campistas'!$A:$R,15,0),"")&lt;&gt;"",LOWER(TRIM(IFERROR(VLOOKUP(A93,'Cadastro Geral Campistas'!$A:$R,15,0),"")))&lt;&gt;"não",LOWER(TRIM(IFERROR(VLOOKUP(A93,'Cadastro Geral Campistas'!$A:$R,15,0),"")))&lt;&gt;"nao",LOWER(TRIM(IFERROR(VLOOKUP(A93,'Cadastro Geral Campistas'!$A:$R,15,0),"")))&lt;&gt;"0"),"Alergia: "&amp;IFERROR(VLOOKUP(A93,'Cadastro Geral Campistas'!$A:$R,15,0),""),""))))</f>
        <v/>
      </c>
      <c r="J93" s="58">
        <f>IFERROR(VLOOKUP(A93,'Cadastro Geral Campistas'!$A:$R,4,0),"")</f>
        <v/>
      </c>
    </row>
    <row r="94" ht="18" customHeight="1" s="121">
      <c r="A94" s="71" t="n">
        <v>114</v>
      </c>
      <c r="B94" s="25">
        <f>IFERROR(VLOOKUP(A94,'Cadastro Geral Campistas'!$A:$R,2,0),"")</f>
        <v/>
      </c>
      <c r="C94" s="26">
        <f>IFERROR(VLOOKUP(A94,'Cadastro Geral Campistas'!$A:$R,5,0),"")</f>
        <v/>
      </c>
      <c r="D94" s="26">
        <f>IFERROR(VLOOKUP(A94,'Cadastro Geral Campistas'!$A:$R,6,0),"")</f>
        <v/>
      </c>
      <c r="E94" s="26">
        <f>IFERROR(VLOOKUP(A94,'Cadastro Geral Campistas'!$A:$R,7,0),"")</f>
        <v/>
      </c>
      <c r="F94" s="25">
        <f>IFERROR(VLOOKUP(A94,'Cadastro Geral Campistas'!$A:$R,9,0),"")</f>
        <v/>
      </c>
      <c r="G94" s="26">
        <f>IFERROR(VLOOKUP(A94,'Cadastro Geral Campistas'!$A:$R,3,0),"")</f>
        <v/>
      </c>
      <c r="H94" s="25">
        <f>IFERROR(VLOOKUP(A94,'Cadastro Geral Campistas'!$A:$R,8,0),"")</f>
        <v/>
      </c>
      <c r="I94" s="107">
        <f>IF(AND(IFERROR(VLOOKUP(A94,'Cadastro Geral Campistas'!$A:$R,18,0),0)&gt;0,COUNTIF($A$79:$A$94,IFERROR(VLOOKUP(A94,'Cadastro Geral Campistas'!$A:$R,18,0),0))&gt;0),"⚠️ CONFLITO! Cônjuge na mesma tribo: "&amp;IFERROR(VLOOKUP(IFERROR(VLOOKUP(A94,'Cadastro Geral Campistas'!$A:$R,18,0),0),'Cadastro Geral Campistas'!$A:$R,2,""),""),TRIM(IF(AND(IFERROR(VLOOKUP(A94,'Cadastro Geral Campistas'!$A:$R,10,0),"")&lt;&gt;"",LOWER(TRIM(IFERROR(VLOOKUP(A94,'Cadastro Geral Campistas'!$A:$R,10,0),"")))&lt;&gt;"não",LOWER(TRIM(IFERROR(VLOOKUP(A94,'Cadastro Geral Campistas'!$A:$R,10,0),"")))&lt;&gt;"nao",LOWER(TRIM(IFERROR(VLOOKUP(A94,'Cadastro Geral Campistas'!$A:$R,10,0),"")))&lt;&gt;"0"),IFERROR(VLOOKUP(A94,'Cadastro Geral Campistas'!$A:$R,10,0),"")&amp;IF(AND(IFERROR(VLOOKUP(A94,'Cadastro Geral Campistas'!$A:$R,15,0),"")&lt;&gt;"",LOWER(TRIM(IFERROR(VLOOKUP(A94,'Cadastro Geral Campistas'!$A:$R,15,0),"")))&lt;&gt;"não",LOWER(TRIM(IFERROR(VLOOKUP(A94,'Cadastro Geral Campistas'!$A:$R,15,0),"")))&lt;&gt;"nao",LOWER(TRIM(IFERROR(VLOOKUP(A94,'Cadastro Geral Campistas'!$A:$R,15,0),"")))&lt;&gt;"0")," | Alergia: "&amp;IFERROR(VLOOKUP(A94,'Cadastro Geral Campistas'!$A:$R,15,0),""),""),IF(AND(IFERROR(VLOOKUP(A94,'Cadastro Geral Campistas'!$A:$R,15,0),"")&lt;&gt;"",LOWER(TRIM(IFERROR(VLOOKUP(A94,'Cadastro Geral Campistas'!$A:$R,15,0),"")))&lt;&gt;"não",LOWER(TRIM(IFERROR(VLOOKUP(A94,'Cadastro Geral Campistas'!$A:$R,15,0),"")))&lt;&gt;"nao",LOWER(TRIM(IFERROR(VLOOKUP(A94,'Cadastro Geral Campistas'!$A:$R,15,0),"")))&lt;&gt;"0"),"Alergia: "&amp;IFERROR(VLOOKUP(A94,'Cadastro Geral Campistas'!$A:$R,15,0),""),""))))</f>
        <v/>
      </c>
      <c r="J94" s="72">
        <f>IFERROR(VLOOKUP(A94,'Cadastro Geral Campistas'!$A:$R,4,0),"")</f>
        <v/>
      </c>
    </row>
    <row r="95">
      <c r="A95" s="61" t="inlineStr">
        <is>
          <t>MÉDIA&gt;&gt;&gt;&gt;&gt;&gt;&gt;&gt;&gt;</t>
        </is>
      </c>
      <c r="B95" s="20" t="n"/>
      <c r="C95" s="20">
        <f>IFERROR(ROUND(AVERAGE(C79:C94),1),"")</f>
        <v/>
      </c>
      <c r="D95" s="20" t="n"/>
      <c r="E95" s="20">
        <f>IFERROR(ROUND(AVERAGE(E79:E94),1),"")</f>
        <v/>
      </c>
      <c r="F95" s="116" t="n"/>
      <c r="G95" s="202" t="n"/>
      <c r="H95" s="202" t="n"/>
      <c r="I95" s="126">
        <f>COUNTIF(J79:J94,"F")&amp;"  F    |    "&amp;COUNTIF(J79:J94,"M")&amp;"  M"</f>
        <v/>
      </c>
      <c r="J95" s="127" t="n"/>
    </row>
    <row r="96">
      <c r="A96" s="118" t="n"/>
      <c r="B96" s="119" t="n"/>
      <c r="C96" s="119" t="n"/>
      <c r="D96" s="119" t="n"/>
      <c r="E96" s="119" t="n"/>
      <c r="F96" s="119" t="n"/>
      <c r="G96" s="119" t="n"/>
      <c r="H96" s="119" t="n"/>
      <c r="I96" s="138" t="inlineStr">
        <is>
          <t>Sequências das dinâmicas:</t>
        </is>
      </c>
      <c r="J96" s="131" t="n"/>
    </row>
    <row r="97">
      <c r="A97" s="120" t="n"/>
      <c r="I97" s="124" t="inlineStr">
        <is>
          <t>1 - Balanço</t>
        </is>
      </c>
      <c r="J97" s="125" t="n"/>
    </row>
    <row r="98">
      <c r="A98" s="120" t="n"/>
      <c r="I98" s="124" t="inlineStr">
        <is>
          <t>2 - Casa de Maria</t>
        </is>
      </c>
      <c r="J98" s="125" t="n"/>
    </row>
    <row r="99">
      <c r="A99" s="120" t="n"/>
      <c r="I99" s="124" t="inlineStr">
        <is>
          <t>3 - Salto da Fé</t>
        </is>
      </c>
      <c r="J99" s="125" t="n"/>
    </row>
    <row r="100">
      <c r="A100" s="120" t="n"/>
      <c r="I100" s="124" t="inlineStr">
        <is>
          <t>4 - Cabana</t>
        </is>
      </c>
      <c r="J100" s="125" t="n"/>
    </row>
    <row r="101">
      <c r="A101" s="120" t="n"/>
      <c r="I101" s="124" t="inlineStr">
        <is>
          <t>5 - Casa da Misericórdia</t>
        </is>
      </c>
      <c r="J101" s="125" t="n"/>
    </row>
    <row r="102">
      <c r="A102" s="120" t="n"/>
      <c r="I102" s="124" t="inlineStr">
        <is>
          <t>6 - Metrô</t>
        </is>
      </c>
      <c r="J102" s="125" t="n"/>
    </row>
    <row r="103">
      <c r="A103" s="120" t="n"/>
      <c r="I103" s="124" t="inlineStr">
        <is>
          <t>7 - Paredão</t>
        </is>
      </c>
      <c r="J103" s="125" t="n"/>
    </row>
    <row r="104">
      <c r="A104" s="120" t="n"/>
      <c r="I104" s="124" t="inlineStr">
        <is>
          <t>8 - Casa do Pai</t>
        </is>
      </c>
      <c r="J104" s="125" t="n"/>
    </row>
    <row r="105" ht="14.7" customHeight="1" s="121" thickBot="1">
      <c r="A105" s="122" t="n"/>
      <c r="B105" s="123" t="n"/>
      <c r="C105" s="123" t="n"/>
      <c r="D105" s="123" t="n"/>
      <c r="E105" s="123" t="n"/>
      <c r="F105" s="123" t="n"/>
      <c r="G105" s="123" t="n"/>
      <c r="H105" s="123" t="n"/>
      <c r="I105" s="132" t="inlineStr">
        <is>
          <t>9 - Espelho</t>
        </is>
      </c>
      <c r="J105" s="133" t="n"/>
    </row>
    <row r="106" ht="28" customHeight="1" s="121">
      <c r="A106" s="175" t="inlineStr">
        <is>
          <t>Cor: Rosa</t>
        </is>
      </c>
      <c r="B106" s="136" t="n"/>
      <c r="C106" s="136" t="n"/>
      <c r="D106" s="136" t="n"/>
      <c r="E106" s="180" t="inlineStr">
        <is>
          <t>Tribo Levi</t>
        </is>
      </c>
      <c r="F106" s="136" t="n"/>
      <c r="G106" s="136" t="n"/>
      <c r="H106" s="136" t="n"/>
      <c r="I106" s="136" t="n"/>
      <c r="J106" s="144" t="n"/>
    </row>
    <row r="107">
      <c r="A107" s="149" t="inlineStr">
        <is>
          <t>Anjos:</t>
        </is>
      </c>
      <c r="G107" s="158" t="inlineStr">
        <is>
          <t>Anjo Guardião:</t>
        </is>
      </c>
      <c r="J107" s="125" t="n"/>
    </row>
    <row r="108">
      <c r="A108" s="120" t="n"/>
      <c r="J108" s="125" t="n"/>
    </row>
    <row r="109">
      <c r="A109" s="120" t="n"/>
      <c r="J109" s="125" t="n"/>
    </row>
    <row r="110">
      <c r="A110" s="147" t="inlineStr">
        <is>
          <t>Rogério Melauro</t>
        </is>
      </c>
      <c r="D110" s="128" t="n"/>
      <c r="G110" s="152" t="inlineStr">
        <is>
          <t>Karolyne Queiroz</t>
        </is>
      </c>
      <c r="J110" s="125" t="n"/>
    </row>
    <row r="111">
      <c r="A111" s="147" t="inlineStr">
        <is>
          <t>Letícia</t>
        </is>
      </c>
      <c r="G111" s="145" t="n"/>
      <c r="J111" s="125" t="n"/>
    </row>
    <row r="112">
      <c r="A112" s="162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46" t="n"/>
    </row>
    <row r="113">
      <c r="A113" s="73" t="inlineStr">
        <is>
          <t>Ficha ✏️</t>
        </is>
      </c>
      <c r="B113" s="27" t="inlineStr">
        <is>
          <t>Nome</t>
        </is>
      </c>
      <c r="C113" s="27" t="inlineStr">
        <is>
          <t>Peso</t>
        </is>
      </c>
      <c r="D113" s="27" t="inlineStr">
        <is>
          <t>Alt</t>
        </is>
      </c>
      <c r="E113" s="27" t="inlineStr">
        <is>
          <t>Idade</t>
        </is>
      </c>
      <c r="F113" s="27" t="inlineStr">
        <is>
          <t>Cidade</t>
        </is>
      </c>
      <c r="G113" s="27" t="inlineStr">
        <is>
          <t>Camiseta</t>
        </is>
      </c>
      <c r="H113" s="27" t="inlineStr">
        <is>
          <t>Celular</t>
        </is>
      </c>
      <c r="I113" s="27" t="inlineStr">
        <is>
          <t>⚠️ Alerta / Observações</t>
        </is>
      </c>
      <c r="J113" s="74" t="inlineStr">
        <is>
          <t>Sexo</t>
        </is>
      </c>
    </row>
    <row r="114" ht="18" customHeight="1" s="121">
      <c r="A114" s="57" t="n">
        <v>42</v>
      </c>
      <c r="B114" s="7">
        <f>IFERROR(VLOOKUP(A114,'Cadastro Geral Campistas'!$A:$R,2,0),"")</f>
        <v/>
      </c>
      <c r="C114" s="6">
        <f>IFERROR(VLOOKUP(A114,'Cadastro Geral Campistas'!$A:$R,5,0),"")</f>
        <v/>
      </c>
      <c r="D114" s="6">
        <f>IFERROR(VLOOKUP(A114,'Cadastro Geral Campistas'!$A:$R,6,0),"")</f>
        <v/>
      </c>
      <c r="E114" s="6">
        <f>IFERROR(VLOOKUP(A114,'Cadastro Geral Campistas'!$A:$R,7,0),"")</f>
        <v/>
      </c>
      <c r="F114" s="7">
        <f>IFERROR(VLOOKUP(A114,'Cadastro Geral Campistas'!$A:$R,9,0),"")</f>
        <v/>
      </c>
      <c r="G114" s="6">
        <f>IFERROR(VLOOKUP(A114,'Cadastro Geral Campistas'!$A:$R,3,0),"")</f>
        <v/>
      </c>
      <c r="H114" s="7">
        <f>IFERROR(VLOOKUP(A114,'Cadastro Geral Campistas'!$A:$R,8,0),"")</f>
        <v/>
      </c>
      <c r="I114" s="101">
        <f>IF(AND(IFERROR(VLOOKUP(A114,'Cadastro Geral Campistas'!$A:$R,18,0),0)&gt;0,COUNTIF($A$114:$A$129,IFERROR(VLOOKUP(A114,'Cadastro Geral Campistas'!$A:$R,18,0),0))&gt;0),"⚠️ CONFLITO! Cônjuge na mesma tribo: "&amp;IFERROR(VLOOKUP(IFERROR(VLOOKUP(A114,'Cadastro Geral Campistas'!$A:$R,18,0),0),'Cadastro Geral Campistas'!$A:$R,2,""),""),TRIM(IF(AND(IFERROR(VLOOKUP(A114,'Cadastro Geral Campistas'!$A:$R,10,0),"")&lt;&gt;"",LOWER(TRIM(IFERROR(VLOOKUP(A114,'Cadastro Geral Campistas'!$A:$R,10,0),"")))&lt;&gt;"não",LOWER(TRIM(IFERROR(VLOOKUP(A114,'Cadastro Geral Campistas'!$A:$R,10,0),"")))&lt;&gt;"nao",LOWER(TRIM(IFERROR(VLOOKUP(A114,'Cadastro Geral Campistas'!$A:$R,10,0),"")))&lt;&gt;"0"),IFERROR(VLOOKUP(A114,'Cadastro Geral Campistas'!$A:$R,10,0),"")&amp;IF(AND(IFERROR(VLOOKUP(A114,'Cadastro Geral Campistas'!$A:$R,15,0),"")&lt;&gt;"",LOWER(TRIM(IFERROR(VLOOKUP(A114,'Cadastro Geral Campistas'!$A:$R,15,0),"")))&lt;&gt;"não",LOWER(TRIM(IFERROR(VLOOKUP(A114,'Cadastro Geral Campistas'!$A:$R,15,0),"")))&lt;&gt;"nao",LOWER(TRIM(IFERROR(VLOOKUP(A114,'Cadastro Geral Campistas'!$A:$R,15,0),"")))&lt;&gt;"0")," | Alergia: "&amp;IFERROR(VLOOKUP(A114,'Cadastro Geral Campistas'!$A:$R,15,0),""),""),IF(AND(IFERROR(VLOOKUP(A114,'Cadastro Geral Campistas'!$A:$R,15,0),"")&lt;&gt;"",LOWER(TRIM(IFERROR(VLOOKUP(A114,'Cadastro Geral Campistas'!$A:$R,15,0),"")))&lt;&gt;"não",LOWER(TRIM(IFERROR(VLOOKUP(A114,'Cadastro Geral Campistas'!$A:$R,15,0),"")))&lt;&gt;"nao",LOWER(TRIM(IFERROR(VLOOKUP(A114,'Cadastro Geral Campistas'!$A:$R,15,0),"")))&lt;&gt;"0"),"Alergia: "&amp;IFERROR(VLOOKUP(A114,'Cadastro Geral Campistas'!$A:$R,15,0),""),""))))</f>
        <v/>
      </c>
      <c r="J114" s="58">
        <f>IFERROR(VLOOKUP(A114,'Cadastro Geral Campistas'!$A:$R,4,0),"")</f>
        <v/>
      </c>
    </row>
    <row r="115" ht="18" customHeight="1" s="121">
      <c r="A115" s="75" t="n">
        <v>69</v>
      </c>
      <c r="B115" s="28">
        <f>IFERROR(VLOOKUP(A115,'Cadastro Geral Campistas'!$A:$R,2,0),"")</f>
        <v/>
      </c>
      <c r="C115" s="29">
        <f>IFERROR(VLOOKUP(A115,'Cadastro Geral Campistas'!$A:$R,5,0),"")</f>
        <v/>
      </c>
      <c r="D115" s="29">
        <f>IFERROR(VLOOKUP(A115,'Cadastro Geral Campistas'!$A:$R,6,0),"")</f>
        <v/>
      </c>
      <c r="E115" s="29">
        <f>IFERROR(VLOOKUP(A115,'Cadastro Geral Campistas'!$A:$R,7,0),"")</f>
        <v/>
      </c>
      <c r="F115" s="28">
        <f>IFERROR(VLOOKUP(A115,'Cadastro Geral Campistas'!$A:$R,9,0),"")</f>
        <v/>
      </c>
      <c r="G115" s="29">
        <f>IFERROR(VLOOKUP(A115,'Cadastro Geral Campistas'!$A:$R,3,0),"")</f>
        <v/>
      </c>
      <c r="H115" s="28">
        <f>IFERROR(VLOOKUP(A115,'Cadastro Geral Campistas'!$A:$R,8,0),"")</f>
        <v/>
      </c>
      <c r="I115" s="108">
        <f>IF(AND(IFERROR(VLOOKUP(A115,'Cadastro Geral Campistas'!$A:$R,18,0),0)&gt;0,COUNTIF($A$114:$A$129,IFERROR(VLOOKUP(A115,'Cadastro Geral Campistas'!$A:$R,18,0),0))&gt;0),"⚠️ CONFLITO! Cônjuge na mesma tribo: "&amp;IFERROR(VLOOKUP(IFERROR(VLOOKUP(A115,'Cadastro Geral Campistas'!$A:$R,18,0),0),'Cadastro Geral Campistas'!$A:$R,2,""),""),TRIM(IF(AND(IFERROR(VLOOKUP(A115,'Cadastro Geral Campistas'!$A:$R,10,0),"")&lt;&gt;"",LOWER(TRIM(IFERROR(VLOOKUP(A115,'Cadastro Geral Campistas'!$A:$R,10,0),"")))&lt;&gt;"não",LOWER(TRIM(IFERROR(VLOOKUP(A115,'Cadastro Geral Campistas'!$A:$R,10,0),"")))&lt;&gt;"nao",LOWER(TRIM(IFERROR(VLOOKUP(A115,'Cadastro Geral Campistas'!$A:$R,10,0),"")))&lt;&gt;"0"),IFERROR(VLOOKUP(A115,'Cadastro Geral Campistas'!$A:$R,10,0),"")&amp;IF(AND(IFERROR(VLOOKUP(A115,'Cadastro Geral Campistas'!$A:$R,15,0),"")&lt;&gt;"",LOWER(TRIM(IFERROR(VLOOKUP(A115,'Cadastro Geral Campistas'!$A:$R,15,0),"")))&lt;&gt;"não",LOWER(TRIM(IFERROR(VLOOKUP(A115,'Cadastro Geral Campistas'!$A:$R,15,0),"")))&lt;&gt;"nao",LOWER(TRIM(IFERROR(VLOOKUP(A115,'Cadastro Geral Campistas'!$A:$R,15,0),"")))&lt;&gt;"0")," | Alergia: "&amp;IFERROR(VLOOKUP(A115,'Cadastro Geral Campistas'!$A:$R,15,0),""),""),IF(AND(IFERROR(VLOOKUP(A115,'Cadastro Geral Campistas'!$A:$R,15,0),"")&lt;&gt;"",LOWER(TRIM(IFERROR(VLOOKUP(A115,'Cadastro Geral Campistas'!$A:$R,15,0),"")))&lt;&gt;"não",LOWER(TRIM(IFERROR(VLOOKUP(A115,'Cadastro Geral Campistas'!$A:$R,15,0),"")))&lt;&gt;"nao",LOWER(TRIM(IFERROR(VLOOKUP(A115,'Cadastro Geral Campistas'!$A:$R,15,0),"")))&lt;&gt;"0"),"Alergia: "&amp;IFERROR(VLOOKUP(A115,'Cadastro Geral Campistas'!$A:$R,15,0),""),""))))</f>
        <v/>
      </c>
      <c r="J115" s="76">
        <f>IFERROR(VLOOKUP(A115,'Cadastro Geral Campistas'!$A:$R,4,0),"")</f>
        <v/>
      </c>
    </row>
    <row r="116" ht="18" customHeight="1" s="121">
      <c r="A116" s="57" t="n">
        <v>85</v>
      </c>
      <c r="B116" s="7">
        <f>IFERROR(VLOOKUP(A116,'Cadastro Geral Campistas'!$A:$R,2,0),"")</f>
        <v/>
      </c>
      <c r="C116" s="6">
        <f>IFERROR(VLOOKUP(A116,'Cadastro Geral Campistas'!$A:$R,5,0),"")</f>
        <v/>
      </c>
      <c r="D116" s="6">
        <f>IFERROR(VLOOKUP(A116,'Cadastro Geral Campistas'!$A:$R,6,0),"")</f>
        <v/>
      </c>
      <c r="E116" s="6">
        <f>IFERROR(VLOOKUP(A116,'Cadastro Geral Campistas'!$A:$R,7,0),"")</f>
        <v/>
      </c>
      <c r="F116" s="7">
        <f>IFERROR(VLOOKUP(A116,'Cadastro Geral Campistas'!$A:$R,9,0),"")</f>
        <v/>
      </c>
      <c r="G116" s="6">
        <f>IFERROR(VLOOKUP(A116,'Cadastro Geral Campistas'!$A:$R,3,0),"")</f>
        <v/>
      </c>
      <c r="H116" s="7">
        <f>IFERROR(VLOOKUP(A116,'Cadastro Geral Campistas'!$A:$R,8,0),"")</f>
        <v/>
      </c>
      <c r="I116" s="101">
        <f>IF(AND(IFERROR(VLOOKUP(A116,'Cadastro Geral Campistas'!$A:$R,18,0),0)&gt;0,COUNTIF($A$114:$A$129,IFERROR(VLOOKUP(A116,'Cadastro Geral Campistas'!$A:$R,18,0),0))&gt;0),"⚠️ CONFLITO! Cônjuge na mesma tribo: "&amp;IFERROR(VLOOKUP(IFERROR(VLOOKUP(A116,'Cadastro Geral Campistas'!$A:$R,18,0),0),'Cadastro Geral Campistas'!$A:$R,2,""),""),TRIM(IF(AND(IFERROR(VLOOKUP(A116,'Cadastro Geral Campistas'!$A:$R,10,0),"")&lt;&gt;"",LOWER(TRIM(IFERROR(VLOOKUP(A116,'Cadastro Geral Campistas'!$A:$R,10,0),"")))&lt;&gt;"não",LOWER(TRIM(IFERROR(VLOOKUP(A116,'Cadastro Geral Campistas'!$A:$R,10,0),"")))&lt;&gt;"nao",LOWER(TRIM(IFERROR(VLOOKUP(A116,'Cadastro Geral Campistas'!$A:$R,10,0),"")))&lt;&gt;"0"),IFERROR(VLOOKUP(A116,'Cadastro Geral Campistas'!$A:$R,10,0),"")&amp;IF(AND(IFERROR(VLOOKUP(A116,'Cadastro Geral Campistas'!$A:$R,15,0),"")&lt;&gt;"",LOWER(TRIM(IFERROR(VLOOKUP(A116,'Cadastro Geral Campistas'!$A:$R,15,0),"")))&lt;&gt;"não",LOWER(TRIM(IFERROR(VLOOKUP(A116,'Cadastro Geral Campistas'!$A:$R,15,0),"")))&lt;&gt;"nao",LOWER(TRIM(IFERROR(VLOOKUP(A116,'Cadastro Geral Campistas'!$A:$R,15,0),"")))&lt;&gt;"0")," | Alergia: "&amp;IFERROR(VLOOKUP(A116,'Cadastro Geral Campistas'!$A:$R,15,0),""),""),IF(AND(IFERROR(VLOOKUP(A116,'Cadastro Geral Campistas'!$A:$R,15,0),"")&lt;&gt;"",LOWER(TRIM(IFERROR(VLOOKUP(A116,'Cadastro Geral Campistas'!$A:$R,15,0),"")))&lt;&gt;"não",LOWER(TRIM(IFERROR(VLOOKUP(A116,'Cadastro Geral Campistas'!$A:$R,15,0),"")))&lt;&gt;"nao",LOWER(TRIM(IFERROR(VLOOKUP(A116,'Cadastro Geral Campistas'!$A:$R,15,0),"")))&lt;&gt;"0"),"Alergia: "&amp;IFERROR(VLOOKUP(A116,'Cadastro Geral Campistas'!$A:$R,15,0),""),""))))</f>
        <v/>
      </c>
      <c r="J116" s="58">
        <f>IFERROR(VLOOKUP(A116,'Cadastro Geral Campistas'!$A:$R,4,0),"")</f>
        <v/>
      </c>
    </row>
    <row r="117" ht="18" customHeight="1" s="121">
      <c r="A117" s="75" t="n">
        <v>88</v>
      </c>
      <c r="B117" s="28">
        <f>IFERROR(VLOOKUP(A117,'Cadastro Geral Campistas'!$A:$R,2,0),"")</f>
        <v/>
      </c>
      <c r="C117" s="29">
        <f>IFERROR(VLOOKUP(A117,'Cadastro Geral Campistas'!$A:$R,5,0),"")</f>
        <v/>
      </c>
      <c r="D117" s="29">
        <f>IFERROR(VLOOKUP(A117,'Cadastro Geral Campistas'!$A:$R,6,0),"")</f>
        <v/>
      </c>
      <c r="E117" s="29">
        <f>IFERROR(VLOOKUP(A117,'Cadastro Geral Campistas'!$A:$R,7,0),"")</f>
        <v/>
      </c>
      <c r="F117" s="28">
        <f>IFERROR(VLOOKUP(A117,'Cadastro Geral Campistas'!$A:$R,9,0),"")</f>
        <v/>
      </c>
      <c r="G117" s="29">
        <f>IFERROR(VLOOKUP(A117,'Cadastro Geral Campistas'!$A:$R,3,0),"")</f>
        <v/>
      </c>
      <c r="H117" s="28">
        <f>IFERROR(VLOOKUP(A117,'Cadastro Geral Campistas'!$A:$R,8,0),"")</f>
        <v/>
      </c>
      <c r="I117" s="108">
        <f>IF(AND(IFERROR(VLOOKUP(A117,'Cadastro Geral Campistas'!$A:$R,18,0),0)&gt;0,COUNTIF($A$114:$A$129,IFERROR(VLOOKUP(A117,'Cadastro Geral Campistas'!$A:$R,18,0),0))&gt;0),"⚠️ CONFLITO! Cônjuge na mesma tribo: "&amp;IFERROR(VLOOKUP(IFERROR(VLOOKUP(A117,'Cadastro Geral Campistas'!$A:$R,18,0),0),'Cadastro Geral Campistas'!$A:$R,2,""),""),TRIM(IF(AND(IFERROR(VLOOKUP(A117,'Cadastro Geral Campistas'!$A:$R,10,0),"")&lt;&gt;"",LOWER(TRIM(IFERROR(VLOOKUP(A117,'Cadastro Geral Campistas'!$A:$R,10,0),"")))&lt;&gt;"não",LOWER(TRIM(IFERROR(VLOOKUP(A117,'Cadastro Geral Campistas'!$A:$R,10,0),"")))&lt;&gt;"nao",LOWER(TRIM(IFERROR(VLOOKUP(A117,'Cadastro Geral Campistas'!$A:$R,10,0),"")))&lt;&gt;"0"),IFERROR(VLOOKUP(A117,'Cadastro Geral Campistas'!$A:$R,10,0),"")&amp;IF(AND(IFERROR(VLOOKUP(A117,'Cadastro Geral Campistas'!$A:$R,15,0),"")&lt;&gt;"",LOWER(TRIM(IFERROR(VLOOKUP(A117,'Cadastro Geral Campistas'!$A:$R,15,0),"")))&lt;&gt;"não",LOWER(TRIM(IFERROR(VLOOKUP(A117,'Cadastro Geral Campistas'!$A:$R,15,0),"")))&lt;&gt;"nao",LOWER(TRIM(IFERROR(VLOOKUP(A117,'Cadastro Geral Campistas'!$A:$R,15,0),"")))&lt;&gt;"0")," | Alergia: "&amp;IFERROR(VLOOKUP(A117,'Cadastro Geral Campistas'!$A:$R,15,0),""),""),IF(AND(IFERROR(VLOOKUP(A117,'Cadastro Geral Campistas'!$A:$R,15,0),"")&lt;&gt;"",LOWER(TRIM(IFERROR(VLOOKUP(A117,'Cadastro Geral Campistas'!$A:$R,15,0),"")))&lt;&gt;"não",LOWER(TRIM(IFERROR(VLOOKUP(A117,'Cadastro Geral Campistas'!$A:$R,15,0),"")))&lt;&gt;"nao",LOWER(TRIM(IFERROR(VLOOKUP(A117,'Cadastro Geral Campistas'!$A:$R,15,0),"")))&lt;&gt;"0"),"Alergia: "&amp;IFERROR(VLOOKUP(A117,'Cadastro Geral Campistas'!$A:$R,15,0),""),""))))</f>
        <v/>
      </c>
      <c r="J117" s="76">
        <f>IFERROR(VLOOKUP(A117,'Cadastro Geral Campistas'!$A:$R,4,0),"")</f>
        <v/>
      </c>
    </row>
    <row r="118" ht="18" customHeight="1" s="121">
      <c r="A118" s="57" t="n">
        <v>99</v>
      </c>
      <c r="B118" s="7">
        <f>IFERROR(VLOOKUP(A118,'Cadastro Geral Campistas'!$A:$R,2,0),"")</f>
        <v/>
      </c>
      <c r="C118" s="6">
        <f>IFERROR(VLOOKUP(A118,'Cadastro Geral Campistas'!$A:$R,5,0),"")</f>
        <v/>
      </c>
      <c r="D118" s="6">
        <f>IFERROR(VLOOKUP(A118,'Cadastro Geral Campistas'!$A:$R,6,0),"")</f>
        <v/>
      </c>
      <c r="E118" s="6">
        <f>IFERROR(VLOOKUP(A118,'Cadastro Geral Campistas'!$A:$R,7,0),"")</f>
        <v/>
      </c>
      <c r="F118" s="7">
        <f>IFERROR(VLOOKUP(A118,'Cadastro Geral Campistas'!$A:$R,9,0),"")</f>
        <v/>
      </c>
      <c r="G118" s="6">
        <f>IFERROR(VLOOKUP(A118,'Cadastro Geral Campistas'!$A:$R,3,0),"")</f>
        <v/>
      </c>
      <c r="H118" s="7">
        <f>IFERROR(VLOOKUP(A118,'Cadastro Geral Campistas'!$A:$R,8,0),"")</f>
        <v/>
      </c>
      <c r="I118" s="101">
        <f>IF(AND(IFERROR(VLOOKUP(A118,'Cadastro Geral Campistas'!$A:$R,18,0),0)&gt;0,COUNTIF($A$114:$A$129,IFERROR(VLOOKUP(A118,'Cadastro Geral Campistas'!$A:$R,18,0),0))&gt;0),"⚠️ CONFLITO! Cônjuge na mesma tribo: "&amp;IFERROR(VLOOKUP(IFERROR(VLOOKUP(A118,'Cadastro Geral Campistas'!$A:$R,18,0),0),'Cadastro Geral Campistas'!$A:$R,2,""),""),TRIM(IF(AND(IFERROR(VLOOKUP(A118,'Cadastro Geral Campistas'!$A:$R,10,0),"")&lt;&gt;"",LOWER(TRIM(IFERROR(VLOOKUP(A118,'Cadastro Geral Campistas'!$A:$R,10,0),"")))&lt;&gt;"não",LOWER(TRIM(IFERROR(VLOOKUP(A118,'Cadastro Geral Campistas'!$A:$R,10,0),"")))&lt;&gt;"nao",LOWER(TRIM(IFERROR(VLOOKUP(A118,'Cadastro Geral Campistas'!$A:$R,10,0),"")))&lt;&gt;"0"),IFERROR(VLOOKUP(A118,'Cadastro Geral Campistas'!$A:$R,10,0),"")&amp;IF(AND(IFERROR(VLOOKUP(A118,'Cadastro Geral Campistas'!$A:$R,15,0),"")&lt;&gt;"",LOWER(TRIM(IFERROR(VLOOKUP(A118,'Cadastro Geral Campistas'!$A:$R,15,0),"")))&lt;&gt;"não",LOWER(TRIM(IFERROR(VLOOKUP(A118,'Cadastro Geral Campistas'!$A:$R,15,0),"")))&lt;&gt;"nao",LOWER(TRIM(IFERROR(VLOOKUP(A118,'Cadastro Geral Campistas'!$A:$R,15,0),"")))&lt;&gt;"0")," | Alergia: "&amp;IFERROR(VLOOKUP(A118,'Cadastro Geral Campistas'!$A:$R,15,0),""),""),IF(AND(IFERROR(VLOOKUP(A118,'Cadastro Geral Campistas'!$A:$R,15,0),"")&lt;&gt;"",LOWER(TRIM(IFERROR(VLOOKUP(A118,'Cadastro Geral Campistas'!$A:$R,15,0),"")))&lt;&gt;"não",LOWER(TRIM(IFERROR(VLOOKUP(A118,'Cadastro Geral Campistas'!$A:$R,15,0),"")))&lt;&gt;"nao",LOWER(TRIM(IFERROR(VLOOKUP(A118,'Cadastro Geral Campistas'!$A:$R,15,0),"")))&lt;&gt;"0"),"Alergia: "&amp;IFERROR(VLOOKUP(A118,'Cadastro Geral Campistas'!$A:$R,15,0),""),""))))</f>
        <v/>
      </c>
      <c r="J118" s="58">
        <f>IFERROR(VLOOKUP(A118,'Cadastro Geral Campistas'!$A:$R,4,0),"")</f>
        <v/>
      </c>
    </row>
    <row r="119" ht="18" customHeight="1" s="121">
      <c r="A119" s="75" t="n">
        <v>124</v>
      </c>
      <c r="B119" s="28">
        <f>IFERROR(VLOOKUP(A119,'Cadastro Geral Campistas'!$A:$R,2,0),"")</f>
        <v/>
      </c>
      <c r="C119" s="29">
        <f>IFERROR(VLOOKUP(A119,'Cadastro Geral Campistas'!$A:$R,5,0),"")</f>
        <v/>
      </c>
      <c r="D119" s="29">
        <f>IFERROR(VLOOKUP(A119,'Cadastro Geral Campistas'!$A:$R,6,0),"")</f>
        <v/>
      </c>
      <c r="E119" s="29">
        <f>IFERROR(VLOOKUP(A119,'Cadastro Geral Campistas'!$A:$R,7,0),"")</f>
        <v/>
      </c>
      <c r="F119" s="28">
        <f>IFERROR(VLOOKUP(A119,'Cadastro Geral Campistas'!$A:$R,9,0),"")</f>
        <v/>
      </c>
      <c r="G119" s="29">
        <f>IFERROR(VLOOKUP(A119,'Cadastro Geral Campistas'!$A:$R,3,0),"")</f>
        <v/>
      </c>
      <c r="H119" s="28">
        <f>IFERROR(VLOOKUP(A119,'Cadastro Geral Campistas'!$A:$R,8,0),"")</f>
        <v/>
      </c>
      <c r="I119" s="108">
        <f>IF(AND(IFERROR(VLOOKUP(A119,'Cadastro Geral Campistas'!$A:$R,18,0),0)&gt;0,COUNTIF($A$114:$A$129,IFERROR(VLOOKUP(A119,'Cadastro Geral Campistas'!$A:$R,18,0),0))&gt;0),"⚠️ CONFLITO! Cônjuge na mesma tribo: "&amp;IFERROR(VLOOKUP(IFERROR(VLOOKUP(A119,'Cadastro Geral Campistas'!$A:$R,18,0),0),'Cadastro Geral Campistas'!$A:$R,2,""),""),TRIM(IF(AND(IFERROR(VLOOKUP(A119,'Cadastro Geral Campistas'!$A:$R,10,0),"")&lt;&gt;"",LOWER(TRIM(IFERROR(VLOOKUP(A119,'Cadastro Geral Campistas'!$A:$R,10,0),"")))&lt;&gt;"não",LOWER(TRIM(IFERROR(VLOOKUP(A119,'Cadastro Geral Campistas'!$A:$R,10,0),"")))&lt;&gt;"nao",LOWER(TRIM(IFERROR(VLOOKUP(A119,'Cadastro Geral Campistas'!$A:$R,10,0),"")))&lt;&gt;"0"),IFERROR(VLOOKUP(A119,'Cadastro Geral Campistas'!$A:$R,10,0),"")&amp;IF(AND(IFERROR(VLOOKUP(A119,'Cadastro Geral Campistas'!$A:$R,15,0),"")&lt;&gt;"",LOWER(TRIM(IFERROR(VLOOKUP(A119,'Cadastro Geral Campistas'!$A:$R,15,0),"")))&lt;&gt;"não",LOWER(TRIM(IFERROR(VLOOKUP(A119,'Cadastro Geral Campistas'!$A:$R,15,0),"")))&lt;&gt;"nao",LOWER(TRIM(IFERROR(VLOOKUP(A119,'Cadastro Geral Campistas'!$A:$R,15,0),"")))&lt;&gt;"0")," | Alergia: "&amp;IFERROR(VLOOKUP(A119,'Cadastro Geral Campistas'!$A:$R,15,0),""),""),IF(AND(IFERROR(VLOOKUP(A119,'Cadastro Geral Campistas'!$A:$R,15,0),"")&lt;&gt;"",LOWER(TRIM(IFERROR(VLOOKUP(A119,'Cadastro Geral Campistas'!$A:$R,15,0),"")))&lt;&gt;"não",LOWER(TRIM(IFERROR(VLOOKUP(A119,'Cadastro Geral Campistas'!$A:$R,15,0),"")))&lt;&gt;"nao",LOWER(TRIM(IFERROR(VLOOKUP(A119,'Cadastro Geral Campistas'!$A:$R,15,0),"")))&lt;&gt;"0"),"Alergia: "&amp;IFERROR(VLOOKUP(A119,'Cadastro Geral Campistas'!$A:$R,15,0),""),""))))</f>
        <v/>
      </c>
      <c r="J119" s="76">
        <f>IFERROR(VLOOKUP(A119,'Cadastro Geral Campistas'!$A:$R,4,0),"")</f>
        <v/>
      </c>
    </row>
    <row r="120" ht="18" customHeight="1" s="121">
      <c r="A120" s="57" t="n">
        <v>125</v>
      </c>
      <c r="B120" s="7">
        <f>IFERROR(VLOOKUP(A120,'Cadastro Geral Campistas'!$A:$R,2,0),"")</f>
        <v/>
      </c>
      <c r="C120" s="6">
        <f>IFERROR(VLOOKUP(A120,'Cadastro Geral Campistas'!$A:$R,5,0),"")</f>
        <v/>
      </c>
      <c r="D120" s="6">
        <f>IFERROR(VLOOKUP(A120,'Cadastro Geral Campistas'!$A:$R,6,0),"")</f>
        <v/>
      </c>
      <c r="E120" s="6">
        <f>IFERROR(VLOOKUP(A120,'Cadastro Geral Campistas'!$A:$R,7,0),"")</f>
        <v/>
      </c>
      <c r="F120" s="7">
        <f>IFERROR(VLOOKUP(A120,'Cadastro Geral Campistas'!$A:$R,9,0),"")</f>
        <v/>
      </c>
      <c r="G120" s="6">
        <f>IFERROR(VLOOKUP(A120,'Cadastro Geral Campistas'!$A:$R,3,0),"")</f>
        <v/>
      </c>
      <c r="H120" s="7">
        <f>IFERROR(VLOOKUP(A120,'Cadastro Geral Campistas'!$A:$R,8,0),"")</f>
        <v/>
      </c>
      <c r="I120" s="101">
        <f>IF(AND(IFERROR(VLOOKUP(A120,'Cadastro Geral Campistas'!$A:$R,18,0),0)&gt;0,COUNTIF($A$114:$A$129,IFERROR(VLOOKUP(A120,'Cadastro Geral Campistas'!$A:$R,18,0),0))&gt;0),"⚠️ CONFLITO! Cônjuge na mesma tribo: "&amp;IFERROR(VLOOKUP(IFERROR(VLOOKUP(A120,'Cadastro Geral Campistas'!$A:$R,18,0),0),'Cadastro Geral Campistas'!$A:$R,2,""),""),TRIM(IF(AND(IFERROR(VLOOKUP(A120,'Cadastro Geral Campistas'!$A:$R,10,0),"")&lt;&gt;"",LOWER(TRIM(IFERROR(VLOOKUP(A120,'Cadastro Geral Campistas'!$A:$R,10,0),"")))&lt;&gt;"não",LOWER(TRIM(IFERROR(VLOOKUP(A120,'Cadastro Geral Campistas'!$A:$R,10,0),"")))&lt;&gt;"nao",LOWER(TRIM(IFERROR(VLOOKUP(A120,'Cadastro Geral Campistas'!$A:$R,10,0),"")))&lt;&gt;"0"),IFERROR(VLOOKUP(A120,'Cadastro Geral Campistas'!$A:$R,10,0),"")&amp;IF(AND(IFERROR(VLOOKUP(A120,'Cadastro Geral Campistas'!$A:$R,15,0),"")&lt;&gt;"",LOWER(TRIM(IFERROR(VLOOKUP(A120,'Cadastro Geral Campistas'!$A:$R,15,0),"")))&lt;&gt;"não",LOWER(TRIM(IFERROR(VLOOKUP(A120,'Cadastro Geral Campistas'!$A:$R,15,0),"")))&lt;&gt;"nao",LOWER(TRIM(IFERROR(VLOOKUP(A120,'Cadastro Geral Campistas'!$A:$R,15,0),"")))&lt;&gt;"0")," | Alergia: "&amp;IFERROR(VLOOKUP(A120,'Cadastro Geral Campistas'!$A:$R,15,0),""),""),IF(AND(IFERROR(VLOOKUP(A120,'Cadastro Geral Campistas'!$A:$R,15,0),"")&lt;&gt;"",LOWER(TRIM(IFERROR(VLOOKUP(A120,'Cadastro Geral Campistas'!$A:$R,15,0),"")))&lt;&gt;"não",LOWER(TRIM(IFERROR(VLOOKUP(A120,'Cadastro Geral Campistas'!$A:$R,15,0),"")))&lt;&gt;"nao",LOWER(TRIM(IFERROR(VLOOKUP(A120,'Cadastro Geral Campistas'!$A:$R,15,0),"")))&lt;&gt;"0"),"Alergia: "&amp;IFERROR(VLOOKUP(A120,'Cadastro Geral Campistas'!$A:$R,15,0),""),""))))</f>
        <v/>
      </c>
      <c r="J120" s="58">
        <f>IFERROR(VLOOKUP(A120,'Cadastro Geral Campistas'!$A:$R,4,0),"")</f>
        <v/>
      </c>
    </row>
    <row r="121" ht="18" customHeight="1" s="121">
      <c r="A121" s="75" t="n">
        <v>138</v>
      </c>
      <c r="B121" s="28">
        <f>IFERROR(VLOOKUP(A121,'Cadastro Geral Campistas'!$A:$R,2,0),"")</f>
        <v/>
      </c>
      <c r="C121" s="29">
        <f>IFERROR(VLOOKUP(A121,'Cadastro Geral Campistas'!$A:$R,5,0),"")</f>
        <v/>
      </c>
      <c r="D121" s="29">
        <f>IFERROR(VLOOKUP(A121,'Cadastro Geral Campistas'!$A:$R,6,0),"")</f>
        <v/>
      </c>
      <c r="E121" s="29">
        <f>IFERROR(VLOOKUP(A121,'Cadastro Geral Campistas'!$A:$R,7,0),"")</f>
        <v/>
      </c>
      <c r="F121" s="28">
        <f>IFERROR(VLOOKUP(A121,'Cadastro Geral Campistas'!$A:$R,9,0),"")</f>
        <v/>
      </c>
      <c r="G121" s="29">
        <f>IFERROR(VLOOKUP(A121,'Cadastro Geral Campistas'!$A:$R,3,0),"")</f>
        <v/>
      </c>
      <c r="H121" s="28">
        <f>IFERROR(VLOOKUP(A121,'Cadastro Geral Campistas'!$A:$R,8,0),"")</f>
        <v/>
      </c>
      <c r="I121" s="108">
        <f>IF(AND(IFERROR(VLOOKUP(A121,'Cadastro Geral Campistas'!$A:$R,18,0),0)&gt;0,COUNTIF($A$114:$A$129,IFERROR(VLOOKUP(A121,'Cadastro Geral Campistas'!$A:$R,18,0),0))&gt;0),"⚠️ CONFLITO! Cônjuge na mesma tribo: "&amp;IFERROR(VLOOKUP(IFERROR(VLOOKUP(A121,'Cadastro Geral Campistas'!$A:$R,18,0),0),'Cadastro Geral Campistas'!$A:$R,2,""),""),TRIM(IF(AND(IFERROR(VLOOKUP(A121,'Cadastro Geral Campistas'!$A:$R,10,0),"")&lt;&gt;"",LOWER(TRIM(IFERROR(VLOOKUP(A121,'Cadastro Geral Campistas'!$A:$R,10,0),"")))&lt;&gt;"não",LOWER(TRIM(IFERROR(VLOOKUP(A121,'Cadastro Geral Campistas'!$A:$R,10,0),"")))&lt;&gt;"nao",LOWER(TRIM(IFERROR(VLOOKUP(A121,'Cadastro Geral Campistas'!$A:$R,10,0),"")))&lt;&gt;"0"),IFERROR(VLOOKUP(A121,'Cadastro Geral Campistas'!$A:$R,10,0),"")&amp;IF(AND(IFERROR(VLOOKUP(A121,'Cadastro Geral Campistas'!$A:$R,15,0),"")&lt;&gt;"",LOWER(TRIM(IFERROR(VLOOKUP(A121,'Cadastro Geral Campistas'!$A:$R,15,0),"")))&lt;&gt;"não",LOWER(TRIM(IFERROR(VLOOKUP(A121,'Cadastro Geral Campistas'!$A:$R,15,0),"")))&lt;&gt;"nao",LOWER(TRIM(IFERROR(VLOOKUP(A121,'Cadastro Geral Campistas'!$A:$R,15,0),"")))&lt;&gt;"0")," | Alergia: "&amp;IFERROR(VLOOKUP(A121,'Cadastro Geral Campistas'!$A:$R,15,0),""),""),IF(AND(IFERROR(VLOOKUP(A121,'Cadastro Geral Campistas'!$A:$R,15,0),"")&lt;&gt;"",LOWER(TRIM(IFERROR(VLOOKUP(A121,'Cadastro Geral Campistas'!$A:$R,15,0),"")))&lt;&gt;"não",LOWER(TRIM(IFERROR(VLOOKUP(A121,'Cadastro Geral Campistas'!$A:$R,15,0),"")))&lt;&gt;"nao",LOWER(TRIM(IFERROR(VLOOKUP(A121,'Cadastro Geral Campistas'!$A:$R,15,0),"")))&lt;&gt;"0"),"Alergia: "&amp;IFERROR(VLOOKUP(A121,'Cadastro Geral Campistas'!$A:$R,15,0),""),""))))</f>
        <v/>
      </c>
      <c r="J121" s="76">
        <f>IFERROR(VLOOKUP(A121,'Cadastro Geral Campistas'!$A:$R,4,0),"")</f>
        <v/>
      </c>
    </row>
    <row r="122" ht="18" customHeight="1" s="121">
      <c r="A122" s="55" t="n">
        <v>3</v>
      </c>
      <c r="B122" s="3">
        <f>IFERROR(VLOOKUP(A122,'Cadastro Geral Campistas'!$A:$R,2,0),"")</f>
        <v/>
      </c>
      <c r="C122" s="2">
        <f>IFERROR(VLOOKUP(A122,'Cadastro Geral Campistas'!$A:$R,5,0),"")</f>
        <v/>
      </c>
      <c r="D122" s="2">
        <f>IFERROR(VLOOKUP(A122,'Cadastro Geral Campistas'!$A:$R,6,0),"")</f>
        <v/>
      </c>
      <c r="E122" s="2">
        <f>IFERROR(VLOOKUP(A122,'Cadastro Geral Campistas'!$A:$R,7,0),"")</f>
        <v/>
      </c>
      <c r="F122" s="3">
        <f>IFERROR(VLOOKUP(A122,'Cadastro Geral Campistas'!$A:$R,9,0),"")</f>
        <v/>
      </c>
      <c r="G122" s="2">
        <f>IFERROR(VLOOKUP(A122,'Cadastro Geral Campistas'!$A:$R,3,0),"")</f>
        <v/>
      </c>
      <c r="H122" s="3">
        <f>IFERROR(VLOOKUP(A122,'Cadastro Geral Campistas'!$A:$R,8,0),"")</f>
        <v/>
      </c>
      <c r="I122" s="103">
        <f>IF(AND(IFERROR(VLOOKUP(A122,'Cadastro Geral Campistas'!$A:$R,18,0),0)&gt;0,COUNTIF($A$114:$A$129,IFERROR(VLOOKUP(A122,'Cadastro Geral Campistas'!$A:$R,18,0),0))&gt;0),"⚠️ CONFLITO! Cônjuge na mesma tribo: "&amp;IFERROR(VLOOKUP(IFERROR(VLOOKUP(A122,'Cadastro Geral Campistas'!$A:$R,18,0),0),'Cadastro Geral Campistas'!$A:$R,2,""),""),TRIM(IF(AND(IFERROR(VLOOKUP(A122,'Cadastro Geral Campistas'!$A:$R,10,0),"")&lt;&gt;"",LOWER(TRIM(IFERROR(VLOOKUP(A122,'Cadastro Geral Campistas'!$A:$R,10,0),"")))&lt;&gt;"não",LOWER(TRIM(IFERROR(VLOOKUP(A122,'Cadastro Geral Campistas'!$A:$R,10,0),"")))&lt;&gt;"nao",LOWER(TRIM(IFERROR(VLOOKUP(A122,'Cadastro Geral Campistas'!$A:$R,10,0),"")))&lt;&gt;"0"),IFERROR(VLOOKUP(A122,'Cadastro Geral Campistas'!$A:$R,10,0),"")&amp;IF(AND(IFERROR(VLOOKUP(A122,'Cadastro Geral Campistas'!$A:$R,15,0),"")&lt;&gt;"",LOWER(TRIM(IFERROR(VLOOKUP(A122,'Cadastro Geral Campistas'!$A:$R,15,0),"")))&lt;&gt;"não",LOWER(TRIM(IFERROR(VLOOKUP(A122,'Cadastro Geral Campistas'!$A:$R,15,0),"")))&lt;&gt;"nao",LOWER(TRIM(IFERROR(VLOOKUP(A122,'Cadastro Geral Campistas'!$A:$R,15,0),"")))&lt;&gt;"0")," | Alergia: "&amp;IFERROR(VLOOKUP(A122,'Cadastro Geral Campistas'!$A:$R,15,0),""),""),IF(AND(IFERROR(VLOOKUP(A122,'Cadastro Geral Campistas'!$A:$R,15,0),"")&lt;&gt;"",LOWER(TRIM(IFERROR(VLOOKUP(A122,'Cadastro Geral Campistas'!$A:$R,15,0),"")))&lt;&gt;"não",LOWER(TRIM(IFERROR(VLOOKUP(A122,'Cadastro Geral Campistas'!$A:$R,15,0),"")))&lt;&gt;"nao",LOWER(TRIM(IFERROR(VLOOKUP(A122,'Cadastro Geral Campistas'!$A:$R,15,0),"")))&lt;&gt;"0"),"Alergia: "&amp;IFERROR(VLOOKUP(A122,'Cadastro Geral Campistas'!$A:$R,15,0),""),""))))</f>
        <v/>
      </c>
      <c r="J122" s="56">
        <f>IFERROR(VLOOKUP(A122,'Cadastro Geral Campistas'!$A:$R,4,0),"")</f>
        <v/>
      </c>
    </row>
    <row r="123" ht="18" customHeight="1" s="121">
      <c r="A123" s="55" t="n">
        <v>21</v>
      </c>
      <c r="B123" s="3">
        <f>IFERROR(VLOOKUP(A123,'Cadastro Geral Campistas'!$A:$R,2,0),"")</f>
        <v/>
      </c>
      <c r="C123" s="2">
        <f>IFERROR(VLOOKUP(A123,'Cadastro Geral Campistas'!$A:$R,5,0),"")</f>
        <v/>
      </c>
      <c r="D123" s="2">
        <f>IFERROR(VLOOKUP(A123,'Cadastro Geral Campistas'!$A:$R,6,0),"")</f>
        <v/>
      </c>
      <c r="E123" s="2">
        <f>IFERROR(VLOOKUP(A123,'Cadastro Geral Campistas'!$A:$R,7,0),"")</f>
        <v/>
      </c>
      <c r="F123" s="3">
        <f>IFERROR(VLOOKUP(A123,'Cadastro Geral Campistas'!$A:$R,9,0),"")</f>
        <v/>
      </c>
      <c r="G123" s="2">
        <f>IFERROR(VLOOKUP(A123,'Cadastro Geral Campistas'!$A:$R,3,0),"")</f>
        <v/>
      </c>
      <c r="H123" s="3">
        <f>IFERROR(VLOOKUP(A123,'Cadastro Geral Campistas'!$A:$R,8,0),"")</f>
        <v/>
      </c>
      <c r="I123" s="103">
        <f>IF(AND(IFERROR(VLOOKUP(A123,'Cadastro Geral Campistas'!$A:$R,18,0),0)&gt;0,COUNTIF($A$114:$A$129,IFERROR(VLOOKUP(A123,'Cadastro Geral Campistas'!$A:$R,18,0),0))&gt;0),"⚠️ CONFLITO! Cônjuge na mesma tribo: "&amp;IFERROR(VLOOKUP(IFERROR(VLOOKUP(A123,'Cadastro Geral Campistas'!$A:$R,18,0),0),'Cadastro Geral Campistas'!$A:$R,2,""),""),TRIM(IF(AND(IFERROR(VLOOKUP(A123,'Cadastro Geral Campistas'!$A:$R,10,0),"")&lt;&gt;"",LOWER(TRIM(IFERROR(VLOOKUP(A123,'Cadastro Geral Campistas'!$A:$R,10,0),"")))&lt;&gt;"não",LOWER(TRIM(IFERROR(VLOOKUP(A123,'Cadastro Geral Campistas'!$A:$R,10,0),"")))&lt;&gt;"nao",LOWER(TRIM(IFERROR(VLOOKUP(A123,'Cadastro Geral Campistas'!$A:$R,10,0),"")))&lt;&gt;"0"),IFERROR(VLOOKUP(A123,'Cadastro Geral Campistas'!$A:$R,10,0),"")&amp;IF(AND(IFERROR(VLOOKUP(A123,'Cadastro Geral Campistas'!$A:$R,15,0),"")&lt;&gt;"",LOWER(TRIM(IFERROR(VLOOKUP(A123,'Cadastro Geral Campistas'!$A:$R,15,0),"")))&lt;&gt;"não",LOWER(TRIM(IFERROR(VLOOKUP(A123,'Cadastro Geral Campistas'!$A:$R,15,0),"")))&lt;&gt;"nao",LOWER(TRIM(IFERROR(VLOOKUP(A123,'Cadastro Geral Campistas'!$A:$R,15,0),"")))&lt;&gt;"0")," | Alergia: "&amp;IFERROR(VLOOKUP(A123,'Cadastro Geral Campistas'!$A:$R,15,0),""),""),IF(AND(IFERROR(VLOOKUP(A123,'Cadastro Geral Campistas'!$A:$R,15,0),"")&lt;&gt;"",LOWER(TRIM(IFERROR(VLOOKUP(A123,'Cadastro Geral Campistas'!$A:$R,15,0),"")))&lt;&gt;"não",LOWER(TRIM(IFERROR(VLOOKUP(A123,'Cadastro Geral Campistas'!$A:$R,15,0),"")))&lt;&gt;"nao",LOWER(TRIM(IFERROR(VLOOKUP(A123,'Cadastro Geral Campistas'!$A:$R,15,0),"")))&lt;&gt;"0"),"Alergia: "&amp;IFERROR(VLOOKUP(A123,'Cadastro Geral Campistas'!$A:$R,15,0),""),""))))</f>
        <v/>
      </c>
      <c r="J123" s="56">
        <f>IFERROR(VLOOKUP(A123,'Cadastro Geral Campistas'!$A:$R,4,0),"")</f>
        <v/>
      </c>
    </row>
    <row r="124" ht="18" customHeight="1" s="121">
      <c r="A124" s="57" t="n">
        <v>30</v>
      </c>
      <c r="B124" s="7">
        <f>IFERROR(VLOOKUP(A124,'Cadastro Geral Campistas'!$A:$R,2,0),"")</f>
        <v/>
      </c>
      <c r="C124" s="6">
        <f>IFERROR(VLOOKUP(A124,'Cadastro Geral Campistas'!$A:$R,5,0),"")</f>
        <v/>
      </c>
      <c r="D124" s="6">
        <f>IFERROR(VLOOKUP(A124,'Cadastro Geral Campistas'!$A:$R,6,0),"")</f>
        <v/>
      </c>
      <c r="E124" s="6">
        <f>IFERROR(VLOOKUP(A124,'Cadastro Geral Campistas'!$A:$R,7,0),"")</f>
        <v/>
      </c>
      <c r="F124" s="7">
        <f>IFERROR(VLOOKUP(A124,'Cadastro Geral Campistas'!$A:$R,9,0),"")</f>
        <v/>
      </c>
      <c r="G124" s="6">
        <f>IFERROR(VLOOKUP(A124,'Cadastro Geral Campistas'!$A:$R,3,0),"")</f>
        <v/>
      </c>
      <c r="H124" s="7">
        <f>IFERROR(VLOOKUP(A124,'Cadastro Geral Campistas'!$A:$R,8,0),"")</f>
        <v/>
      </c>
      <c r="I124" s="101">
        <f>IF(AND(IFERROR(VLOOKUP(A124,'Cadastro Geral Campistas'!$A:$R,18,0),0)&gt;0,COUNTIF($A$114:$A$129,IFERROR(VLOOKUP(A124,'Cadastro Geral Campistas'!$A:$R,18,0),0))&gt;0),"⚠️ CONFLITO! Cônjuge na mesma tribo: "&amp;IFERROR(VLOOKUP(IFERROR(VLOOKUP(A124,'Cadastro Geral Campistas'!$A:$R,18,0),0),'Cadastro Geral Campistas'!$A:$R,2,""),""),TRIM(IF(AND(IFERROR(VLOOKUP(A124,'Cadastro Geral Campistas'!$A:$R,10,0),"")&lt;&gt;"",LOWER(TRIM(IFERROR(VLOOKUP(A124,'Cadastro Geral Campistas'!$A:$R,10,0),"")))&lt;&gt;"não",LOWER(TRIM(IFERROR(VLOOKUP(A124,'Cadastro Geral Campistas'!$A:$R,10,0),"")))&lt;&gt;"nao",LOWER(TRIM(IFERROR(VLOOKUP(A124,'Cadastro Geral Campistas'!$A:$R,10,0),"")))&lt;&gt;"0"),IFERROR(VLOOKUP(A124,'Cadastro Geral Campistas'!$A:$R,10,0),"")&amp;IF(AND(IFERROR(VLOOKUP(A124,'Cadastro Geral Campistas'!$A:$R,15,0),"")&lt;&gt;"",LOWER(TRIM(IFERROR(VLOOKUP(A124,'Cadastro Geral Campistas'!$A:$R,15,0),"")))&lt;&gt;"não",LOWER(TRIM(IFERROR(VLOOKUP(A124,'Cadastro Geral Campistas'!$A:$R,15,0),"")))&lt;&gt;"nao",LOWER(TRIM(IFERROR(VLOOKUP(A124,'Cadastro Geral Campistas'!$A:$R,15,0),"")))&lt;&gt;"0")," | Alergia: "&amp;IFERROR(VLOOKUP(A124,'Cadastro Geral Campistas'!$A:$R,15,0),""),""),IF(AND(IFERROR(VLOOKUP(A124,'Cadastro Geral Campistas'!$A:$R,15,0),"")&lt;&gt;"",LOWER(TRIM(IFERROR(VLOOKUP(A124,'Cadastro Geral Campistas'!$A:$R,15,0),"")))&lt;&gt;"não",LOWER(TRIM(IFERROR(VLOOKUP(A124,'Cadastro Geral Campistas'!$A:$R,15,0),"")))&lt;&gt;"nao",LOWER(TRIM(IFERROR(VLOOKUP(A124,'Cadastro Geral Campistas'!$A:$R,15,0),"")))&lt;&gt;"0"),"Alergia: "&amp;IFERROR(VLOOKUP(A124,'Cadastro Geral Campistas'!$A:$R,15,0),""),""))))</f>
        <v/>
      </c>
      <c r="J124" s="58">
        <f>IFERROR(VLOOKUP(A124,'Cadastro Geral Campistas'!$A:$R,4,0),"")</f>
        <v/>
      </c>
    </row>
    <row r="125" ht="18" customHeight="1" s="121">
      <c r="A125" s="75" t="n">
        <v>49</v>
      </c>
      <c r="B125" s="28">
        <f>IFERROR(VLOOKUP(A125,'Cadastro Geral Campistas'!$A:$R,2,0),"")</f>
        <v/>
      </c>
      <c r="C125" s="29">
        <f>IFERROR(VLOOKUP(A125,'Cadastro Geral Campistas'!$A:$R,5,0),"")</f>
        <v/>
      </c>
      <c r="D125" s="29">
        <f>IFERROR(VLOOKUP(A125,'Cadastro Geral Campistas'!$A:$R,6,0),"")</f>
        <v/>
      </c>
      <c r="E125" s="29">
        <f>IFERROR(VLOOKUP(A125,'Cadastro Geral Campistas'!$A:$R,7,0),"")</f>
        <v/>
      </c>
      <c r="F125" s="28">
        <f>IFERROR(VLOOKUP(A125,'Cadastro Geral Campistas'!$A:$R,9,0),"")</f>
        <v/>
      </c>
      <c r="G125" s="29">
        <f>IFERROR(VLOOKUP(A125,'Cadastro Geral Campistas'!$A:$R,3,0),"")</f>
        <v/>
      </c>
      <c r="H125" s="28">
        <f>IFERROR(VLOOKUP(A125,'Cadastro Geral Campistas'!$A:$R,8,0),"")</f>
        <v/>
      </c>
      <c r="I125" s="108">
        <f>IF(AND(IFERROR(VLOOKUP(A125,'Cadastro Geral Campistas'!$A:$R,18,0),0)&gt;0,COUNTIF($A$114:$A$129,IFERROR(VLOOKUP(A125,'Cadastro Geral Campistas'!$A:$R,18,0),0))&gt;0),"⚠️ CONFLITO! Cônjuge na mesma tribo: "&amp;IFERROR(VLOOKUP(IFERROR(VLOOKUP(A125,'Cadastro Geral Campistas'!$A:$R,18,0),0),'Cadastro Geral Campistas'!$A:$R,2,""),""),TRIM(IF(AND(IFERROR(VLOOKUP(A125,'Cadastro Geral Campistas'!$A:$R,10,0),"")&lt;&gt;"",LOWER(TRIM(IFERROR(VLOOKUP(A125,'Cadastro Geral Campistas'!$A:$R,10,0),"")))&lt;&gt;"não",LOWER(TRIM(IFERROR(VLOOKUP(A125,'Cadastro Geral Campistas'!$A:$R,10,0),"")))&lt;&gt;"nao",LOWER(TRIM(IFERROR(VLOOKUP(A125,'Cadastro Geral Campistas'!$A:$R,10,0),"")))&lt;&gt;"0"),IFERROR(VLOOKUP(A125,'Cadastro Geral Campistas'!$A:$R,10,0),"")&amp;IF(AND(IFERROR(VLOOKUP(A125,'Cadastro Geral Campistas'!$A:$R,15,0),"")&lt;&gt;"",LOWER(TRIM(IFERROR(VLOOKUP(A125,'Cadastro Geral Campistas'!$A:$R,15,0),"")))&lt;&gt;"não",LOWER(TRIM(IFERROR(VLOOKUP(A125,'Cadastro Geral Campistas'!$A:$R,15,0),"")))&lt;&gt;"nao",LOWER(TRIM(IFERROR(VLOOKUP(A125,'Cadastro Geral Campistas'!$A:$R,15,0),"")))&lt;&gt;"0")," | Alergia: "&amp;IFERROR(VLOOKUP(A125,'Cadastro Geral Campistas'!$A:$R,15,0),""),""),IF(AND(IFERROR(VLOOKUP(A125,'Cadastro Geral Campistas'!$A:$R,15,0),"")&lt;&gt;"",LOWER(TRIM(IFERROR(VLOOKUP(A125,'Cadastro Geral Campistas'!$A:$R,15,0),"")))&lt;&gt;"não",LOWER(TRIM(IFERROR(VLOOKUP(A125,'Cadastro Geral Campistas'!$A:$R,15,0),"")))&lt;&gt;"nao",LOWER(TRIM(IFERROR(VLOOKUP(A125,'Cadastro Geral Campistas'!$A:$R,15,0),"")))&lt;&gt;"0"),"Alergia: "&amp;IFERROR(VLOOKUP(A125,'Cadastro Geral Campistas'!$A:$R,15,0),""),""))))</f>
        <v/>
      </c>
      <c r="J125" s="76">
        <f>IFERROR(VLOOKUP(A125,'Cadastro Geral Campistas'!$A:$R,4,0),"")</f>
        <v/>
      </c>
    </row>
    <row r="126" ht="18" customHeight="1" s="121">
      <c r="A126" s="57" t="n">
        <v>55</v>
      </c>
      <c r="B126" s="7">
        <f>IFERROR(VLOOKUP(A126,'Cadastro Geral Campistas'!$A:$R,2,0),"")</f>
        <v/>
      </c>
      <c r="C126" s="6">
        <f>IFERROR(VLOOKUP(A126,'Cadastro Geral Campistas'!$A:$R,5,0),"")</f>
        <v/>
      </c>
      <c r="D126" s="6">
        <f>IFERROR(VLOOKUP(A126,'Cadastro Geral Campistas'!$A:$R,6,0),"")</f>
        <v/>
      </c>
      <c r="E126" s="6">
        <f>IFERROR(VLOOKUP(A126,'Cadastro Geral Campistas'!$A:$R,7,0),"")</f>
        <v/>
      </c>
      <c r="F126" s="7">
        <f>IFERROR(VLOOKUP(A126,'Cadastro Geral Campistas'!$A:$R,9,0),"")</f>
        <v/>
      </c>
      <c r="G126" s="6">
        <f>IFERROR(VLOOKUP(A126,'Cadastro Geral Campistas'!$A:$R,3,0),"")</f>
        <v/>
      </c>
      <c r="H126" s="7">
        <f>IFERROR(VLOOKUP(A126,'Cadastro Geral Campistas'!$A:$R,8,0),"")</f>
        <v/>
      </c>
      <c r="I126" s="101">
        <f>IF(AND(IFERROR(VLOOKUP(A126,'Cadastro Geral Campistas'!$A:$R,18,0),0)&gt;0,COUNTIF($A$114:$A$129,IFERROR(VLOOKUP(A126,'Cadastro Geral Campistas'!$A:$R,18,0),0))&gt;0),"⚠️ CONFLITO! Cônjuge na mesma tribo: "&amp;IFERROR(VLOOKUP(IFERROR(VLOOKUP(A126,'Cadastro Geral Campistas'!$A:$R,18,0),0),'Cadastro Geral Campistas'!$A:$R,2,""),""),TRIM(IF(AND(IFERROR(VLOOKUP(A126,'Cadastro Geral Campistas'!$A:$R,10,0),"")&lt;&gt;"",LOWER(TRIM(IFERROR(VLOOKUP(A126,'Cadastro Geral Campistas'!$A:$R,10,0),"")))&lt;&gt;"não",LOWER(TRIM(IFERROR(VLOOKUP(A126,'Cadastro Geral Campistas'!$A:$R,10,0),"")))&lt;&gt;"nao",LOWER(TRIM(IFERROR(VLOOKUP(A126,'Cadastro Geral Campistas'!$A:$R,10,0),"")))&lt;&gt;"0"),IFERROR(VLOOKUP(A126,'Cadastro Geral Campistas'!$A:$R,10,0),"")&amp;IF(AND(IFERROR(VLOOKUP(A126,'Cadastro Geral Campistas'!$A:$R,15,0),"")&lt;&gt;"",LOWER(TRIM(IFERROR(VLOOKUP(A126,'Cadastro Geral Campistas'!$A:$R,15,0),"")))&lt;&gt;"não",LOWER(TRIM(IFERROR(VLOOKUP(A126,'Cadastro Geral Campistas'!$A:$R,15,0),"")))&lt;&gt;"nao",LOWER(TRIM(IFERROR(VLOOKUP(A126,'Cadastro Geral Campistas'!$A:$R,15,0),"")))&lt;&gt;"0")," | Alergia: "&amp;IFERROR(VLOOKUP(A126,'Cadastro Geral Campistas'!$A:$R,15,0),""),""),IF(AND(IFERROR(VLOOKUP(A126,'Cadastro Geral Campistas'!$A:$R,15,0),"")&lt;&gt;"",LOWER(TRIM(IFERROR(VLOOKUP(A126,'Cadastro Geral Campistas'!$A:$R,15,0),"")))&lt;&gt;"não",LOWER(TRIM(IFERROR(VLOOKUP(A126,'Cadastro Geral Campistas'!$A:$R,15,0),"")))&lt;&gt;"nao",LOWER(TRIM(IFERROR(VLOOKUP(A126,'Cadastro Geral Campistas'!$A:$R,15,0),"")))&lt;&gt;"0"),"Alergia: "&amp;IFERROR(VLOOKUP(A126,'Cadastro Geral Campistas'!$A:$R,15,0),""),""))))</f>
        <v/>
      </c>
      <c r="J126" s="58">
        <f>IFERROR(VLOOKUP(A126,'Cadastro Geral Campistas'!$A:$R,4,0),"")</f>
        <v/>
      </c>
    </row>
    <row r="127" ht="18" customHeight="1" s="121">
      <c r="A127" s="75" t="n">
        <v>72</v>
      </c>
      <c r="B127" s="28">
        <f>IFERROR(VLOOKUP(A127,'Cadastro Geral Campistas'!$A:$R,2,0),"")</f>
        <v/>
      </c>
      <c r="C127" s="29">
        <f>IFERROR(VLOOKUP(A127,'Cadastro Geral Campistas'!$A:$R,5,0),"")</f>
        <v/>
      </c>
      <c r="D127" s="29">
        <f>IFERROR(VLOOKUP(A127,'Cadastro Geral Campistas'!$A:$R,6,0),"")</f>
        <v/>
      </c>
      <c r="E127" s="29">
        <f>IFERROR(VLOOKUP(A127,'Cadastro Geral Campistas'!$A:$R,7,0),"")</f>
        <v/>
      </c>
      <c r="F127" s="28">
        <f>IFERROR(VLOOKUP(A127,'Cadastro Geral Campistas'!$A:$R,9,0),"")</f>
        <v/>
      </c>
      <c r="G127" s="29">
        <f>IFERROR(VLOOKUP(A127,'Cadastro Geral Campistas'!$A:$R,3,0),"")</f>
        <v/>
      </c>
      <c r="H127" s="28">
        <f>IFERROR(VLOOKUP(A127,'Cadastro Geral Campistas'!$A:$R,8,0),"")</f>
        <v/>
      </c>
      <c r="I127" s="108">
        <f>IF(AND(IFERROR(VLOOKUP(A127,'Cadastro Geral Campistas'!$A:$R,18,0),0)&gt;0,COUNTIF($A$114:$A$129,IFERROR(VLOOKUP(A127,'Cadastro Geral Campistas'!$A:$R,18,0),0))&gt;0),"⚠️ CONFLITO! Cônjuge na mesma tribo: "&amp;IFERROR(VLOOKUP(IFERROR(VLOOKUP(A127,'Cadastro Geral Campistas'!$A:$R,18,0),0),'Cadastro Geral Campistas'!$A:$R,2,""),""),TRIM(IF(AND(IFERROR(VLOOKUP(A127,'Cadastro Geral Campistas'!$A:$R,10,0),"")&lt;&gt;"",LOWER(TRIM(IFERROR(VLOOKUP(A127,'Cadastro Geral Campistas'!$A:$R,10,0),"")))&lt;&gt;"não",LOWER(TRIM(IFERROR(VLOOKUP(A127,'Cadastro Geral Campistas'!$A:$R,10,0),"")))&lt;&gt;"nao",LOWER(TRIM(IFERROR(VLOOKUP(A127,'Cadastro Geral Campistas'!$A:$R,10,0),"")))&lt;&gt;"0"),IFERROR(VLOOKUP(A127,'Cadastro Geral Campistas'!$A:$R,10,0),"")&amp;IF(AND(IFERROR(VLOOKUP(A127,'Cadastro Geral Campistas'!$A:$R,15,0),"")&lt;&gt;"",LOWER(TRIM(IFERROR(VLOOKUP(A127,'Cadastro Geral Campistas'!$A:$R,15,0),"")))&lt;&gt;"não",LOWER(TRIM(IFERROR(VLOOKUP(A127,'Cadastro Geral Campistas'!$A:$R,15,0),"")))&lt;&gt;"nao",LOWER(TRIM(IFERROR(VLOOKUP(A127,'Cadastro Geral Campistas'!$A:$R,15,0),"")))&lt;&gt;"0")," | Alergia: "&amp;IFERROR(VLOOKUP(A127,'Cadastro Geral Campistas'!$A:$R,15,0),""),""),IF(AND(IFERROR(VLOOKUP(A127,'Cadastro Geral Campistas'!$A:$R,15,0),"")&lt;&gt;"",LOWER(TRIM(IFERROR(VLOOKUP(A127,'Cadastro Geral Campistas'!$A:$R,15,0),"")))&lt;&gt;"não",LOWER(TRIM(IFERROR(VLOOKUP(A127,'Cadastro Geral Campistas'!$A:$R,15,0),"")))&lt;&gt;"nao",LOWER(TRIM(IFERROR(VLOOKUP(A127,'Cadastro Geral Campistas'!$A:$R,15,0),"")))&lt;&gt;"0"),"Alergia: "&amp;IFERROR(VLOOKUP(A127,'Cadastro Geral Campistas'!$A:$R,15,0),""),""))))</f>
        <v/>
      </c>
      <c r="J127" s="76">
        <f>IFERROR(VLOOKUP(A127,'Cadastro Geral Campistas'!$A:$R,4,0),"")</f>
        <v/>
      </c>
    </row>
    <row r="128" ht="18" customHeight="1" s="121">
      <c r="A128" s="57" t="n">
        <v>84</v>
      </c>
      <c r="B128" s="7">
        <f>IFERROR(VLOOKUP(A128,'Cadastro Geral Campistas'!$A:$R,2,0),"")</f>
        <v/>
      </c>
      <c r="C128" s="6">
        <f>IFERROR(VLOOKUP(A128,'Cadastro Geral Campistas'!$A:$R,5,0),"")</f>
        <v/>
      </c>
      <c r="D128" s="6">
        <f>IFERROR(VLOOKUP(A128,'Cadastro Geral Campistas'!$A:$R,6,0),"")</f>
        <v/>
      </c>
      <c r="E128" s="6">
        <f>IFERROR(VLOOKUP(A128,'Cadastro Geral Campistas'!$A:$R,7,0),"")</f>
        <v/>
      </c>
      <c r="F128" s="7">
        <f>IFERROR(VLOOKUP(A128,'Cadastro Geral Campistas'!$A:$R,9,0),"")</f>
        <v/>
      </c>
      <c r="G128" s="6">
        <f>IFERROR(VLOOKUP(A128,'Cadastro Geral Campistas'!$A:$R,3,0),"")</f>
        <v/>
      </c>
      <c r="H128" s="7">
        <f>IFERROR(VLOOKUP(A128,'Cadastro Geral Campistas'!$A:$R,8,0),"")</f>
        <v/>
      </c>
      <c r="I128" s="101">
        <f>IF(AND(IFERROR(VLOOKUP(A128,'Cadastro Geral Campistas'!$A:$R,18,0),0)&gt;0,COUNTIF($A$114:$A$129,IFERROR(VLOOKUP(A128,'Cadastro Geral Campistas'!$A:$R,18,0),0))&gt;0),"⚠️ CONFLITO! Cônjuge na mesma tribo: "&amp;IFERROR(VLOOKUP(IFERROR(VLOOKUP(A128,'Cadastro Geral Campistas'!$A:$R,18,0),0),'Cadastro Geral Campistas'!$A:$R,2,""),""),TRIM(IF(AND(IFERROR(VLOOKUP(A128,'Cadastro Geral Campistas'!$A:$R,10,0),"")&lt;&gt;"",LOWER(TRIM(IFERROR(VLOOKUP(A128,'Cadastro Geral Campistas'!$A:$R,10,0),"")))&lt;&gt;"não",LOWER(TRIM(IFERROR(VLOOKUP(A128,'Cadastro Geral Campistas'!$A:$R,10,0),"")))&lt;&gt;"nao",LOWER(TRIM(IFERROR(VLOOKUP(A128,'Cadastro Geral Campistas'!$A:$R,10,0),"")))&lt;&gt;"0"),IFERROR(VLOOKUP(A128,'Cadastro Geral Campistas'!$A:$R,10,0),"")&amp;IF(AND(IFERROR(VLOOKUP(A128,'Cadastro Geral Campistas'!$A:$R,15,0),"")&lt;&gt;"",LOWER(TRIM(IFERROR(VLOOKUP(A128,'Cadastro Geral Campistas'!$A:$R,15,0),"")))&lt;&gt;"não",LOWER(TRIM(IFERROR(VLOOKUP(A128,'Cadastro Geral Campistas'!$A:$R,15,0),"")))&lt;&gt;"nao",LOWER(TRIM(IFERROR(VLOOKUP(A128,'Cadastro Geral Campistas'!$A:$R,15,0),"")))&lt;&gt;"0")," | Alergia: "&amp;IFERROR(VLOOKUP(A128,'Cadastro Geral Campistas'!$A:$R,15,0),""),""),IF(AND(IFERROR(VLOOKUP(A128,'Cadastro Geral Campistas'!$A:$R,15,0),"")&lt;&gt;"",LOWER(TRIM(IFERROR(VLOOKUP(A128,'Cadastro Geral Campistas'!$A:$R,15,0),"")))&lt;&gt;"não",LOWER(TRIM(IFERROR(VLOOKUP(A128,'Cadastro Geral Campistas'!$A:$R,15,0),"")))&lt;&gt;"nao",LOWER(TRIM(IFERROR(VLOOKUP(A128,'Cadastro Geral Campistas'!$A:$R,15,0),"")))&lt;&gt;"0"),"Alergia: "&amp;IFERROR(VLOOKUP(A128,'Cadastro Geral Campistas'!$A:$R,15,0),""),""))))</f>
        <v/>
      </c>
      <c r="J128" s="58">
        <f>IFERROR(VLOOKUP(A128,'Cadastro Geral Campistas'!$A:$R,4,0),"")</f>
        <v/>
      </c>
    </row>
    <row r="129" ht="18" customHeight="1" s="121">
      <c r="A129" s="75" t="n">
        <v>120</v>
      </c>
      <c r="B129" s="28">
        <f>IFERROR(VLOOKUP(A129,'Cadastro Geral Campistas'!$A:$R,2,0),"")</f>
        <v/>
      </c>
      <c r="C129" s="29">
        <f>IFERROR(VLOOKUP(A129,'Cadastro Geral Campistas'!$A:$R,5,0),"")</f>
        <v/>
      </c>
      <c r="D129" s="29">
        <f>IFERROR(VLOOKUP(A129,'Cadastro Geral Campistas'!$A:$R,6,0),"")</f>
        <v/>
      </c>
      <c r="E129" s="29">
        <f>IFERROR(VLOOKUP(A129,'Cadastro Geral Campistas'!$A:$R,7,0),"")</f>
        <v/>
      </c>
      <c r="F129" s="28">
        <f>IFERROR(VLOOKUP(A129,'Cadastro Geral Campistas'!$A:$R,9,0),"")</f>
        <v/>
      </c>
      <c r="G129" s="29">
        <f>IFERROR(VLOOKUP(A129,'Cadastro Geral Campistas'!$A:$R,3,0),"")</f>
        <v/>
      </c>
      <c r="H129" s="28">
        <f>IFERROR(VLOOKUP(A129,'Cadastro Geral Campistas'!$A:$R,8,0),"")</f>
        <v/>
      </c>
      <c r="I129" s="108">
        <f>IF(AND(IFERROR(VLOOKUP(A129,'Cadastro Geral Campistas'!$A:$R,18,0),0)&gt;0,COUNTIF($A$114:$A$129,IFERROR(VLOOKUP(A129,'Cadastro Geral Campistas'!$A:$R,18,0),0))&gt;0),"⚠️ CONFLITO! Cônjuge na mesma tribo: "&amp;IFERROR(VLOOKUP(IFERROR(VLOOKUP(A129,'Cadastro Geral Campistas'!$A:$R,18,0),0),'Cadastro Geral Campistas'!$A:$R,2,""),""),TRIM(IF(AND(IFERROR(VLOOKUP(A129,'Cadastro Geral Campistas'!$A:$R,10,0),"")&lt;&gt;"",LOWER(TRIM(IFERROR(VLOOKUP(A129,'Cadastro Geral Campistas'!$A:$R,10,0),"")))&lt;&gt;"não",LOWER(TRIM(IFERROR(VLOOKUP(A129,'Cadastro Geral Campistas'!$A:$R,10,0),"")))&lt;&gt;"nao",LOWER(TRIM(IFERROR(VLOOKUP(A129,'Cadastro Geral Campistas'!$A:$R,10,0),"")))&lt;&gt;"0"),IFERROR(VLOOKUP(A129,'Cadastro Geral Campistas'!$A:$R,10,0),"")&amp;IF(AND(IFERROR(VLOOKUP(A129,'Cadastro Geral Campistas'!$A:$R,15,0),"")&lt;&gt;"",LOWER(TRIM(IFERROR(VLOOKUP(A129,'Cadastro Geral Campistas'!$A:$R,15,0),"")))&lt;&gt;"não",LOWER(TRIM(IFERROR(VLOOKUP(A129,'Cadastro Geral Campistas'!$A:$R,15,0),"")))&lt;&gt;"nao",LOWER(TRIM(IFERROR(VLOOKUP(A129,'Cadastro Geral Campistas'!$A:$R,15,0),"")))&lt;&gt;"0")," | Alergia: "&amp;IFERROR(VLOOKUP(A129,'Cadastro Geral Campistas'!$A:$R,15,0),""),""),IF(AND(IFERROR(VLOOKUP(A129,'Cadastro Geral Campistas'!$A:$R,15,0),"")&lt;&gt;"",LOWER(TRIM(IFERROR(VLOOKUP(A129,'Cadastro Geral Campistas'!$A:$R,15,0),"")))&lt;&gt;"não",LOWER(TRIM(IFERROR(VLOOKUP(A129,'Cadastro Geral Campistas'!$A:$R,15,0),"")))&lt;&gt;"nao",LOWER(TRIM(IFERROR(VLOOKUP(A129,'Cadastro Geral Campistas'!$A:$R,15,0),"")))&lt;&gt;"0"),"Alergia: "&amp;IFERROR(VLOOKUP(A129,'Cadastro Geral Campistas'!$A:$R,15,0),""),""))))</f>
        <v/>
      </c>
      <c r="J129" s="76">
        <f>IFERROR(VLOOKUP(A129,'Cadastro Geral Campistas'!$A:$R,4,0),"")</f>
        <v/>
      </c>
    </row>
    <row r="130">
      <c r="A130" s="61" t="inlineStr">
        <is>
          <t>MÉDIA&gt;&gt;&gt;&gt;&gt;&gt;&gt;&gt;&gt;</t>
        </is>
      </c>
      <c r="B130" s="20" t="n"/>
      <c r="C130" s="20">
        <f>IFERROR(ROUND(AVERAGE(C114:C129),1),"")</f>
        <v/>
      </c>
      <c r="D130" s="20" t="n"/>
      <c r="E130" s="20">
        <f>IFERROR(ROUND(AVERAGE(E114:E129),1),"")</f>
        <v/>
      </c>
      <c r="F130" s="116" t="n"/>
      <c r="G130" s="202" t="n"/>
      <c r="H130" s="202" t="n"/>
      <c r="I130" s="126">
        <f>COUNTIF(J114:J129,"F")&amp;"  F    |    "&amp;COUNTIF(J114:J129,"M")&amp;"  M"</f>
        <v/>
      </c>
      <c r="J130" s="127" t="n"/>
    </row>
    <row r="131">
      <c r="A131" s="118" t="n"/>
      <c r="B131" s="119" t="n"/>
      <c r="C131" s="119" t="n"/>
      <c r="D131" s="119" t="n"/>
      <c r="E131" s="119" t="n"/>
      <c r="F131" s="119" t="n"/>
      <c r="G131" s="119" t="n"/>
      <c r="H131" s="119" t="n"/>
      <c r="I131" s="138" t="inlineStr">
        <is>
          <t>Sequências das dinâmicas:</t>
        </is>
      </c>
      <c r="J131" s="131" t="n"/>
    </row>
    <row r="132">
      <c r="A132" s="120" t="n"/>
      <c r="I132" s="124" t="inlineStr">
        <is>
          <t>1 - Casa de Maria</t>
        </is>
      </c>
      <c r="J132" s="125" t="n"/>
    </row>
    <row r="133">
      <c r="A133" s="120" t="n"/>
      <c r="I133" s="124" t="inlineStr">
        <is>
          <t>2 - Salto da Fé</t>
        </is>
      </c>
      <c r="J133" s="125" t="n"/>
    </row>
    <row r="134">
      <c r="A134" s="120" t="n"/>
      <c r="I134" s="124" t="inlineStr">
        <is>
          <t>3 - Cabana</t>
        </is>
      </c>
      <c r="J134" s="125" t="n"/>
    </row>
    <row r="135">
      <c r="A135" s="120" t="n"/>
      <c r="I135" s="124" t="inlineStr">
        <is>
          <t>4 - Casa da Misericórdia</t>
        </is>
      </c>
      <c r="J135" s="125" t="n"/>
    </row>
    <row r="136">
      <c r="A136" s="120" t="n"/>
      <c r="I136" s="124" t="inlineStr">
        <is>
          <t>5 - Metrô</t>
        </is>
      </c>
      <c r="J136" s="125" t="n"/>
    </row>
    <row r="137">
      <c r="A137" s="120" t="n"/>
      <c r="I137" s="124" t="inlineStr">
        <is>
          <t>6 - Paredão</t>
        </is>
      </c>
      <c r="J137" s="125" t="n"/>
    </row>
    <row r="138">
      <c r="A138" s="120" t="n"/>
      <c r="I138" s="124" t="inlineStr">
        <is>
          <t>7 - Casa do Pai</t>
        </is>
      </c>
      <c r="J138" s="125" t="n"/>
    </row>
    <row r="139">
      <c r="A139" s="120" t="n"/>
      <c r="I139" s="124" t="inlineStr">
        <is>
          <t>8 - Espelho</t>
        </is>
      </c>
      <c r="J139" s="125" t="n"/>
    </row>
    <row r="140" ht="14.7" customHeight="1" s="121" thickBot="1">
      <c r="A140" s="122" t="n"/>
      <c r="B140" s="123" t="n"/>
      <c r="C140" s="123" t="n"/>
      <c r="D140" s="123" t="n"/>
      <c r="E140" s="123" t="n"/>
      <c r="F140" s="123" t="n"/>
      <c r="G140" s="123" t="n"/>
      <c r="H140" s="123" t="n"/>
      <c r="I140" s="132" t="inlineStr">
        <is>
          <t>9 - Balanço</t>
        </is>
      </c>
      <c r="J140" s="133" t="n"/>
    </row>
    <row r="141" ht="28" customHeight="1" s="121">
      <c r="A141" s="151" t="inlineStr">
        <is>
          <t>Cor: Azul</t>
        </is>
      </c>
      <c r="B141" s="136" t="n"/>
      <c r="C141" s="136" t="n"/>
      <c r="D141" s="136" t="n"/>
      <c r="E141" s="181" t="inlineStr">
        <is>
          <t>Tribo Benjamim</t>
        </is>
      </c>
      <c r="F141" s="136" t="n"/>
      <c r="G141" s="136" t="n"/>
      <c r="H141" s="136" t="n"/>
      <c r="I141" s="136" t="n"/>
      <c r="J141" s="144" t="n"/>
    </row>
    <row r="142">
      <c r="A142" s="149" t="inlineStr">
        <is>
          <t>Anjos:</t>
        </is>
      </c>
      <c r="D142" s="128" t="n"/>
      <c r="G142" s="158" t="inlineStr">
        <is>
          <t>Anjo Guardião:</t>
        </is>
      </c>
      <c r="J142" s="125" t="n"/>
    </row>
    <row r="143">
      <c r="A143" s="120" t="n"/>
      <c r="J143" s="125" t="n"/>
    </row>
    <row r="144">
      <c r="A144" s="120" t="n"/>
      <c r="J144" s="125" t="n"/>
    </row>
    <row r="145">
      <c r="A145" s="165" t="inlineStr">
        <is>
          <t>Marcos Daniel</t>
        </is>
      </c>
      <c r="G145" s="141" t="inlineStr">
        <is>
          <t>Pedro Henrique</t>
        </is>
      </c>
      <c r="J145" s="125" t="n"/>
    </row>
    <row r="146">
      <c r="A146" s="165" t="inlineStr">
        <is>
          <t>Rosilene</t>
        </is>
      </c>
      <c r="G146" s="145" t="n"/>
      <c r="J146" s="125" t="n"/>
    </row>
    <row r="147">
      <c r="A147" s="120" t="n"/>
      <c r="D147" s="129" t="n"/>
      <c r="E147" s="129" t="n"/>
      <c r="F147" s="129" t="n"/>
      <c r="G147" s="129" t="n"/>
      <c r="H147" s="129" t="n"/>
      <c r="I147" s="129" t="n"/>
      <c r="J147" s="146" t="n"/>
    </row>
    <row r="148">
      <c r="A148" s="78" t="inlineStr">
        <is>
          <t>Ficha ✏️</t>
        </is>
      </c>
      <c r="B148" s="30" t="inlineStr">
        <is>
          <t>Nome</t>
        </is>
      </c>
      <c r="C148" s="30" t="inlineStr">
        <is>
          <t>Peso</t>
        </is>
      </c>
      <c r="D148" s="30" t="inlineStr">
        <is>
          <t>Alt</t>
        </is>
      </c>
      <c r="E148" s="30" t="inlineStr">
        <is>
          <t>Idade</t>
        </is>
      </c>
      <c r="F148" s="30" t="inlineStr">
        <is>
          <t>Cidade</t>
        </is>
      </c>
      <c r="G148" s="30" t="inlineStr">
        <is>
          <t>Camiseta</t>
        </is>
      </c>
      <c r="H148" s="30" t="inlineStr">
        <is>
          <t>Celular</t>
        </is>
      </c>
      <c r="I148" s="30" t="inlineStr">
        <is>
          <t>⚠️ Alerta / Observações</t>
        </is>
      </c>
      <c r="J148" s="79" t="inlineStr">
        <is>
          <t>Sexo</t>
        </is>
      </c>
    </row>
    <row r="149" ht="18" customHeight="1" s="121">
      <c r="A149" s="57" t="n">
        <v>51</v>
      </c>
      <c r="B149" s="7">
        <f>IFERROR(VLOOKUP(A149,'Cadastro Geral Campistas'!$A:$R,2,0),"")</f>
        <v/>
      </c>
      <c r="C149" s="6">
        <f>IFERROR(VLOOKUP(A149,'Cadastro Geral Campistas'!$A:$R,5,0),"")</f>
        <v/>
      </c>
      <c r="D149" s="6">
        <f>IFERROR(VLOOKUP(A149,'Cadastro Geral Campistas'!$A:$R,6,0),"")</f>
        <v/>
      </c>
      <c r="E149" s="6">
        <f>IFERROR(VLOOKUP(A149,'Cadastro Geral Campistas'!$A:$R,7,0),"")</f>
        <v/>
      </c>
      <c r="F149" s="7">
        <f>IFERROR(VLOOKUP(A149,'Cadastro Geral Campistas'!$A:$R,9,0),"")</f>
        <v/>
      </c>
      <c r="G149" s="6">
        <f>IFERROR(VLOOKUP(A149,'Cadastro Geral Campistas'!$A:$R,3,0),"")</f>
        <v/>
      </c>
      <c r="H149" s="7">
        <f>IFERROR(VLOOKUP(A149,'Cadastro Geral Campistas'!$A:$R,8,0),"")</f>
        <v/>
      </c>
      <c r="I149" s="101">
        <f>IF(AND(IFERROR(VLOOKUP(A149,'Cadastro Geral Campistas'!$A:$R,18,0),0)&gt;0,COUNTIF($A$149:$A$164,IFERROR(VLOOKUP(A149,'Cadastro Geral Campistas'!$A:$R,18,0),0))&gt;0),"⚠️ CONFLITO! Cônjuge na mesma tribo: "&amp;IFERROR(VLOOKUP(IFERROR(VLOOKUP(A149,'Cadastro Geral Campistas'!$A:$R,18,0),0),'Cadastro Geral Campistas'!$A:$R,2,""),""),TRIM(IF(AND(IFERROR(VLOOKUP(A149,'Cadastro Geral Campistas'!$A:$R,10,0),"")&lt;&gt;"",LOWER(TRIM(IFERROR(VLOOKUP(A149,'Cadastro Geral Campistas'!$A:$R,10,0),"")))&lt;&gt;"não",LOWER(TRIM(IFERROR(VLOOKUP(A149,'Cadastro Geral Campistas'!$A:$R,10,0),"")))&lt;&gt;"nao",LOWER(TRIM(IFERROR(VLOOKUP(A149,'Cadastro Geral Campistas'!$A:$R,10,0),"")))&lt;&gt;"0"),IFERROR(VLOOKUP(A149,'Cadastro Geral Campistas'!$A:$R,10,0),"")&amp;IF(AND(IFERROR(VLOOKUP(A149,'Cadastro Geral Campistas'!$A:$R,15,0),"")&lt;&gt;"",LOWER(TRIM(IFERROR(VLOOKUP(A149,'Cadastro Geral Campistas'!$A:$R,15,0),"")))&lt;&gt;"não",LOWER(TRIM(IFERROR(VLOOKUP(A149,'Cadastro Geral Campistas'!$A:$R,15,0),"")))&lt;&gt;"nao",LOWER(TRIM(IFERROR(VLOOKUP(A149,'Cadastro Geral Campistas'!$A:$R,15,0),"")))&lt;&gt;"0")," | Alergia: "&amp;IFERROR(VLOOKUP(A149,'Cadastro Geral Campistas'!$A:$R,15,0),""),""),IF(AND(IFERROR(VLOOKUP(A149,'Cadastro Geral Campistas'!$A:$R,15,0),"")&lt;&gt;"",LOWER(TRIM(IFERROR(VLOOKUP(A149,'Cadastro Geral Campistas'!$A:$R,15,0),"")))&lt;&gt;"não",LOWER(TRIM(IFERROR(VLOOKUP(A149,'Cadastro Geral Campistas'!$A:$R,15,0),"")))&lt;&gt;"nao",LOWER(TRIM(IFERROR(VLOOKUP(A149,'Cadastro Geral Campistas'!$A:$R,15,0),"")))&lt;&gt;"0"),"Alergia: "&amp;IFERROR(VLOOKUP(A149,'Cadastro Geral Campistas'!$A:$R,15,0),""),""))))</f>
        <v/>
      </c>
      <c r="J149" s="58">
        <f>IFERROR(VLOOKUP(A149,'Cadastro Geral Campistas'!$A:$R,4,0),"")</f>
        <v/>
      </c>
    </row>
    <row r="150" ht="18" customHeight="1" s="121">
      <c r="A150" s="80" t="n">
        <v>60</v>
      </c>
      <c r="B150" s="31">
        <f>IFERROR(VLOOKUP(A150,'Cadastro Geral Campistas'!$A:$R,2,0),"")</f>
        <v/>
      </c>
      <c r="C150" s="32">
        <f>IFERROR(VLOOKUP(A150,'Cadastro Geral Campistas'!$A:$R,5,0),"")</f>
        <v/>
      </c>
      <c r="D150" s="32">
        <f>IFERROR(VLOOKUP(A150,'Cadastro Geral Campistas'!$A:$R,6,0),"")</f>
        <v/>
      </c>
      <c r="E150" s="32">
        <f>IFERROR(VLOOKUP(A150,'Cadastro Geral Campistas'!$A:$R,7,0),"")</f>
        <v/>
      </c>
      <c r="F150" s="31">
        <f>IFERROR(VLOOKUP(A150,'Cadastro Geral Campistas'!$A:$R,9,0),"")</f>
        <v/>
      </c>
      <c r="G150" s="32">
        <f>IFERROR(VLOOKUP(A150,'Cadastro Geral Campistas'!$A:$R,3,0),"")</f>
        <v/>
      </c>
      <c r="H150" s="31">
        <f>IFERROR(VLOOKUP(A150,'Cadastro Geral Campistas'!$A:$R,8,0),"")</f>
        <v/>
      </c>
      <c r="I150" s="109">
        <f>IF(AND(IFERROR(VLOOKUP(A150,'Cadastro Geral Campistas'!$A:$R,18,0),0)&gt;0,COUNTIF($A$149:$A$164,IFERROR(VLOOKUP(A150,'Cadastro Geral Campistas'!$A:$R,18,0),0))&gt;0),"⚠️ CONFLITO! Cônjuge na mesma tribo: "&amp;IFERROR(VLOOKUP(IFERROR(VLOOKUP(A150,'Cadastro Geral Campistas'!$A:$R,18,0),0),'Cadastro Geral Campistas'!$A:$R,2,""),""),TRIM(IF(AND(IFERROR(VLOOKUP(A150,'Cadastro Geral Campistas'!$A:$R,10,0),"")&lt;&gt;"",LOWER(TRIM(IFERROR(VLOOKUP(A150,'Cadastro Geral Campistas'!$A:$R,10,0),"")))&lt;&gt;"não",LOWER(TRIM(IFERROR(VLOOKUP(A150,'Cadastro Geral Campistas'!$A:$R,10,0),"")))&lt;&gt;"nao",LOWER(TRIM(IFERROR(VLOOKUP(A150,'Cadastro Geral Campistas'!$A:$R,10,0),"")))&lt;&gt;"0"),IFERROR(VLOOKUP(A150,'Cadastro Geral Campistas'!$A:$R,10,0),"")&amp;IF(AND(IFERROR(VLOOKUP(A150,'Cadastro Geral Campistas'!$A:$R,15,0),"")&lt;&gt;"",LOWER(TRIM(IFERROR(VLOOKUP(A150,'Cadastro Geral Campistas'!$A:$R,15,0),"")))&lt;&gt;"não",LOWER(TRIM(IFERROR(VLOOKUP(A150,'Cadastro Geral Campistas'!$A:$R,15,0),"")))&lt;&gt;"nao",LOWER(TRIM(IFERROR(VLOOKUP(A150,'Cadastro Geral Campistas'!$A:$R,15,0),"")))&lt;&gt;"0")," | Alergia: "&amp;IFERROR(VLOOKUP(A150,'Cadastro Geral Campistas'!$A:$R,15,0),""),""),IF(AND(IFERROR(VLOOKUP(A150,'Cadastro Geral Campistas'!$A:$R,15,0),"")&lt;&gt;"",LOWER(TRIM(IFERROR(VLOOKUP(A150,'Cadastro Geral Campistas'!$A:$R,15,0),"")))&lt;&gt;"não",LOWER(TRIM(IFERROR(VLOOKUP(A150,'Cadastro Geral Campistas'!$A:$R,15,0),"")))&lt;&gt;"nao",LOWER(TRIM(IFERROR(VLOOKUP(A150,'Cadastro Geral Campistas'!$A:$R,15,0),"")))&lt;&gt;"0"),"Alergia: "&amp;IFERROR(VLOOKUP(A150,'Cadastro Geral Campistas'!$A:$R,15,0),""),""))))</f>
        <v/>
      </c>
      <c r="J150" s="81">
        <f>IFERROR(VLOOKUP(A150,'Cadastro Geral Campistas'!$A:$R,4,0),"")</f>
        <v/>
      </c>
    </row>
    <row r="151" ht="18" customHeight="1" s="121">
      <c r="A151" s="55" t="n">
        <v>71</v>
      </c>
      <c r="B151" s="3">
        <f>IFERROR(VLOOKUP(A151,'Cadastro Geral Campistas'!$A:$R,2,0),"")</f>
        <v/>
      </c>
      <c r="C151" s="2">
        <f>IFERROR(VLOOKUP(A151,'Cadastro Geral Campistas'!$A:$R,5,0),"")</f>
        <v/>
      </c>
      <c r="D151" s="2">
        <f>IFERROR(VLOOKUP(A151,'Cadastro Geral Campistas'!$A:$R,6,0),"")</f>
        <v/>
      </c>
      <c r="E151" s="2">
        <f>IFERROR(VLOOKUP(A151,'Cadastro Geral Campistas'!$A:$R,7,0),"")</f>
        <v/>
      </c>
      <c r="F151" s="3">
        <f>IFERROR(VLOOKUP(A151,'Cadastro Geral Campistas'!$A:$R,9,0),"")</f>
        <v/>
      </c>
      <c r="G151" s="2">
        <f>IFERROR(VLOOKUP(A151,'Cadastro Geral Campistas'!$A:$R,3,0),"")</f>
        <v/>
      </c>
      <c r="H151" s="3">
        <f>IFERROR(VLOOKUP(A151,'Cadastro Geral Campistas'!$A:$R,8,0),"")</f>
        <v/>
      </c>
      <c r="I151" s="103">
        <f>IF(AND(IFERROR(VLOOKUP(A151,'Cadastro Geral Campistas'!$A:$R,18,0),0)&gt;0,COUNTIF($A$149:$A$164,IFERROR(VLOOKUP(A151,'Cadastro Geral Campistas'!$A:$R,18,0),0))&gt;0),"⚠️ CONFLITO! Cônjuge na mesma tribo: "&amp;IFERROR(VLOOKUP(IFERROR(VLOOKUP(A151,'Cadastro Geral Campistas'!$A:$R,18,0),0),'Cadastro Geral Campistas'!$A:$R,2,""),""),TRIM(IF(AND(IFERROR(VLOOKUP(A151,'Cadastro Geral Campistas'!$A:$R,10,0),"")&lt;&gt;"",LOWER(TRIM(IFERROR(VLOOKUP(A151,'Cadastro Geral Campistas'!$A:$R,10,0),"")))&lt;&gt;"não",LOWER(TRIM(IFERROR(VLOOKUP(A151,'Cadastro Geral Campistas'!$A:$R,10,0),"")))&lt;&gt;"nao",LOWER(TRIM(IFERROR(VLOOKUP(A151,'Cadastro Geral Campistas'!$A:$R,10,0),"")))&lt;&gt;"0"),IFERROR(VLOOKUP(A151,'Cadastro Geral Campistas'!$A:$R,10,0),"")&amp;IF(AND(IFERROR(VLOOKUP(A151,'Cadastro Geral Campistas'!$A:$R,15,0),"")&lt;&gt;"",LOWER(TRIM(IFERROR(VLOOKUP(A151,'Cadastro Geral Campistas'!$A:$R,15,0),"")))&lt;&gt;"não",LOWER(TRIM(IFERROR(VLOOKUP(A151,'Cadastro Geral Campistas'!$A:$R,15,0),"")))&lt;&gt;"nao",LOWER(TRIM(IFERROR(VLOOKUP(A151,'Cadastro Geral Campistas'!$A:$R,15,0),"")))&lt;&gt;"0")," | Alergia: "&amp;IFERROR(VLOOKUP(A151,'Cadastro Geral Campistas'!$A:$R,15,0),""),""),IF(AND(IFERROR(VLOOKUP(A151,'Cadastro Geral Campistas'!$A:$R,15,0),"")&lt;&gt;"",LOWER(TRIM(IFERROR(VLOOKUP(A151,'Cadastro Geral Campistas'!$A:$R,15,0),"")))&lt;&gt;"não",LOWER(TRIM(IFERROR(VLOOKUP(A151,'Cadastro Geral Campistas'!$A:$R,15,0),"")))&lt;&gt;"nao",LOWER(TRIM(IFERROR(VLOOKUP(A151,'Cadastro Geral Campistas'!$A:$R,15,0),"")))&lt;&gt;"0"),"Alergia: "&amp;IFERROR(VLOOKUP(A151,'Cadastro Geral Campistas'!$A:$R,15,0),""),""))))</f>
        <v/>
      </c>
      <c r="J151" s="56">
        <f>IFERROR(VLOOKUP(A151,'Cadastro Geral Campistas'!$A:$R,4,0),"")</f>
        <v/>
      </c>
    </row>
    <row r="152" ht="18" customHeight="1" s="121">
      <c r="A152" s="55" t="n">
        <v>82</v>
      </c>
      <c r="B152" s="3">
        <f>IFERROR(VLOOKUP(A152,'Cadastro Geral Campistas'!$A:$R,2,0),"")</f>
        <v/>
      </c>
      <c r="C152" s="2">
        <f>IFERROR(VLOOKUP(A152,'Cadastro Geral Campistas'!$A:$R,5,0),"")</f>
        <v/>
      </c>
      <c r="D152" s="2">
        <f>IFERROR(VLOOKUP(A152,'Cadastro Geral Campistas'!$A:$R,6,0),"")</f>
        <v/>
      </c>
      <c r="E152" s="2">
        <f>IFERROR(VLOOKUP(A152,'Cadastro Geral Campistas'!$A:$R,7,0),"")</f>
        <v/>
      </c>
      <c r="F152" s="3">
        <f>IFERROR(VLOOKUP(A152,'Cadastro Geral Campistas'!$A:$R,9,0),"")</f>
        <v/>
      </c>
      <c r="G152" s="2">
        <f>IFERROR(VLOOKUP(A152,'Cadastro Geral Campistas'!$A:$R,3,0),"")</f>
        <v/>
      </c>
      <c r="H152" s="3">
        <f>IFERROR(VLOOKUP(A152,'Cadastro Geral Campistas'!$A:$R,8,0),"")</f>
        <v/>
      </c>
      <c r="I152" s="103">
        <f>IF(AND(IFERROR(VLOOKUP(A152,'Cadastro Geral Campistas'!$A:$R,18,0),0)&gt;0,COUNTIF($A$149:$A$164,IFERROR(VLOOKUP(A152,'Cadastro Geral Campistas'!$A:$R,18,0),0))&gt;0),"⚠️ CONFLITO! Cônjuge na mesma tribo: "&amp;IFERROR(VLOOKUP(IFERROR(VLOOKUP(A152,'Cadastro Geral Campistas'!$A:$R,18,0),0),'Cadastro Geral Campistas'!$A:$R,2,""),""),TRIM(IF(AND(IFERROR(VLOOKUP(A152,'Cadastro Geral Campistas'!$A:$R,10,0),"")&lt;&gt;"",LOWER(TRIM(IFERROR(VLOOKUP(A152,'Cadastro Geral Campistas'!$A:$R,10,0),"")))&lt;&gt;"não",LOWER(TRIM(IFERROR(VLOOKUP(A152,'Cadastro Geral Campistas'!$A:$R,10,0),"")))&lt;&gt;"nao",LOWER(TRIM(IFERROR(VLOOKUP(A152,'Cadastro Geral Campistas'!$A:$R,10,0),"")))&lt;&gt;"0"),IFERROR(VLOOKUP(A152,'Cadastro Geral Campistas'!$A:$R,10,0),"")&amp;IF(AND(IFERROR(VLOOKUP(A152,'Cadastro Geral Campistas'!$A:$R,15,0),"")&lt;&gt;"",LOWER(TRIM(IFERROR(VLOOKUP(A152,'Cadastro Geral Campistas'!$A:$R,15,0),"")))&lt;&gt;"não",LOWER(TRIM(IFERROR(VLOOKUP(A152,'Cadastro Geral Campistas'!$A:$R,15,0),"")))&lt;&gt;"nao",LOWER(TRIM(IFERROR(VLOOKUP(A152,'Cadastro Geral Campistas'!$A:$R,15,0),"")))&lt;&gt;"0")," | Alergia: "&amp;IFERROR(VLOOKUP(A152,'Cadastro Geral Campistas'!$A:$R,15,0),""),""),IF(AND(IFERROR(VLOOKUP(A152,'Cadastro Geral Campistas'!$A:$R,15,0),"")&lt;&gt;"",LOWER(TRIM(IFERROR(VLOOKUP(A152,'Cadastro Geral Campistas'!$A:$R,15,0),"")))&lt;&gt;"não",LOWER(TRIM(IFERROR(VLOOKUP(A152,'Cadastro Geral Campistas'!$A:$R,15,0),"")))&lt;&gt;"nao",LOWER(TRIM(IFERROR(VLOOKUP(A152,'Cadastro Geral Campistas'!$A:$R,15,0),"")))&lt;&gt;"0"),"Alergia: "&amp;IFERROR(VLOOKUP(A152,'Cadastro Geral Campistas'!$A:$R,15,0),""),""))))</f>
        <v/>
      </c>
      <c r="J152" s="56">
        <f>IFERROR(VLOOKUP(A152,'Cadastro Geral Campistas'!$A:$R,4,0),"")</f>
        <v/>
      </c>
    </row>
    <row r="153" ht="18" customHeight="1" s="121">
      <c r="A153" s="57" t="n">
        <v>123</v>
      </c>
      <c r="B153" s="7">
        <f>IFERROR(VLOOKUP(A153,'Cadastro Geral Campistas'!$A:$R,2,0),"")</f>
        <v/>
      </c>
      <c r="C153" s="6">
        <f>IFERROR(VLOOKUP(A153,'Cadastro Geral Campistas'!$A:$R,5,0),"")</f>
        <v/>
      </c>
      <c r="D153" s="6">
        <f>IFERROR(VLOOKUP(A153,'Cadastro Geral Campistas'!$A:$R,6,0),"")</f>
        <v/>
      </c>
      <c r="E153" s="6">
        <f>IFERROR(VLOOKUP(A153,'Cadastro Geral Campistas'!$A:$R,7,0),"")</f>
        <v/>
      </c>
      <c r="F153" s="7">
        <f>IFERROR(VLOOKUP(A153,'Cadastro Geral Campistas'!$A:$R,9,0),"")</f>
        <v/>
      </c>
      <c r="G153" s="6">
        <f>IFERROR(VLOOKUP(A153,'Cadastro Geral Campistas'!$A:$R,3,0),"")</f>
        <v/>
      </c>
      <c r="H153" s="7">
        <f>IFERROR(VLOOKUP(A153,'Cadastro Geral Campistas'!$A:$R,8,0),"")</f>
        <v/>
      </c>
      <c r="I153" s="101">
        <f>IF(AND(IFERROR(VLOOKUP(A153,'Cadastro Geral Campistas'!$A:$R,18,0),0)&gt;0,COUNTIF($A$149:$A$164,IFERROR(VLOOKUP(A153,'Cadastro Geral Campistas'!$A:$R,18,0),0))&gt;0),"⚠️ CONFLITO! Cônjuge na mesma tribo: "&amp;IFERROR(VLOOKUP(IFERROR(VLOOKUP(A153,'Cadastro Geral Campistas'!$A:$R,18,0),0),'Cadastro Geral Campistas'!$A:$R,2,""),""),TRIM(IF(AND(IFERROR(VLOOKUP(A153,'Cadastro Geral Campistas'!$A:$R,10,0),"")&lt;&gt;"",LOWER(TRIM(IFERROR(VLOOKUP(A153,'Cadastro Geral Campistas'!$A:$R,10,0),"")))&lt;&gt;"não",LOWER(TRIM(IFERROR(VLOOKUP(A153,'Cadastro Geral Campistas'!$A:$R,10,0),"")))&lt;&gt;"nao",LOWER(TRIM(IFERROR(VLOOKUP(A153,'Cadastro Geral Campistas'!$A:$R,10,0),"")))&lt;&gt;"0"),IFERROR(VLOOKUP(A153,'Cadastro Geral Campistas'!$A:$R,10,0),"")&amp;IF(AND(IFERROR(VLOOKUP(A153,'Cadastro Geral Campistas'!$A:$R,15,0),"")&lt;&gt;"",LOWER(TRIM(IFERROR(VLOOKUP(A153,'Cadastro Geral Campistas'!$A:$R,15,0),"")))&lt;&gt;"não",LOWER(TRIM(IFERROR(VLOOKUP(A153,'Cadastro Geral Campistas'!$A:$R,15,0),"")))&lt;&gt;"nao",LOWER(TRIM(IFERROR(VLOOKUP(A153,'Cadastro Geral Campistas'!$A:$R,15,0),"")))&lt;&gt;"0")," | Alergia: "&amp;IFERROR(VLOOKUP(A153,'Cadastro Geral Campistas'!$A:$R,15,0),""),""),IF(AND(IFERROR(VLOOKUP(A153,'Cadastro Geral Campistas'!$A:$R,15,0),"")&lt;&gt;"",LOWER(TRIM(IFERROR(VLOOKUP(A153,'Cadastro Geral Campistas'!$A:$R,15,0),"")))&lt;&gt;"não",LOWER(TRIM(IFERROR(VLOOKUP(A153,'Cadastro Geral Campistas'!$A:$R,15,0),"")))&lt;&gt;"nao",LOWER(TRIM(IFERROR(VLOOKUP(A153,'Cadastro Geral Campistas'!$A:$R,15,0),"")))&lt;&gt;"0"),"Alergia: "&amp;IFERROR(VLOOKUP(A153,'Cadastro Geral Campistas'!$A:$R,15,0),""),""))))</f>
        <v/>
      </c>
      <c r="J153" s="58">
        <f>IFERROR(VLOOKUP(A153,'Cadastro Geral Campistas'!$A:$R,4,0),"")</f>
        <v/>
      </c>
    </row>
    <row r="154" ht="18" customHeight="1" s="121">
      <c r="A154" s="80" t="n">
        <v>126</v>
      </c>
      <c r="B154" s="31">
        <f>IFERROR(VLOOKUP(A154,'Cadastro Geral Campistas'!$A:$R,2,0),"")</f>
        <v/>
      </c>
      <c r="C154" s="32">
        <f>IFERROR(VLOOKUP(A154,'Cadastro Geral Campistas'!$A:$R,5,0),"")</f>
        <v/>
      </c>
      <c r="D154" s="32">
        <f>IFERROR(VLOOKUP(A154,'Cadastro Geral Campistas'!$A:$R,6,0),"")</f>
        <v/>
      </c>
      <c r="E154" s="32">
        <f>IFERROR(VLOOKUP(A154,'Cadastro Geral Campistas'!$A:$R,7,0),"")</f>
        <v/>
      </c>
      <c r="F154" s="31">
        <f>IFERROR(VLOOKUP(A154,'Cadastro Geral Campistas'!$A:$R,9,0),"")</f>
        <v/>
      </c>
      <c r="G154" s="32">
        <f>IFERROR(VLOOKUP(A154,'Cadastro Geral Campistas'!$A:$R,3,0),"")</f>
        <v/>
      </c>
      <c r="H154" s="31">
        <f>IFERROR(VLOOKUP(A154,'Cadastro Geral Campistas'!$A:$R,8,0),"")</f>
        <v/>
      </c>
      <c r="I154" s="109">
        <f>IF(AND(IFERROR(VLOOKUP(A154,'Cadastro Geral Campistas'!$A:$R,18,0),0)&gt;0,COUNTIF($A$149:$A$164,IFERROR(VLOOKUP(A154,'Cadastro Geral Campistas'!$A:$R,18,0),0))&gt;0),"⚠️ CONFLITO! Cônjuge na mesma tribo: "&amp;IFERROR(VLOOKUP(IFERROR(VLOOKUP(A154,'Cadastro Geral Campistas'!$A:$R,18,0),0),'Cadastro Geral Campistas'!$A:$R,2,""),""),TRIM(IF(AND(IFERROR(VLOOKUP(A154,'Cadastro Geral Campistas'!$A:$R,10,0),"")&lt;&gt;"",LOWER(TRIM(IFERROR(VLOOKUP(A154,'Cadastro Geral Campistas'!$A:$R,10,0),"")))&lt;&gt;"não",LOWER(TRIM(IFERROR(VLOOKUP(A154,'Cadastro Geral Campistas'!$A:$R,10,0),"")))&lt;&gt;"nao",LOWER(TRIM(IFERROR(VLOOKUP(A154,'Cadastro Geral Campistas'!$A:$R,10,0),"")))&lt;&gt;"0"),IFERROR(VLOOKUP(A154,'Cadastro Geral Campistas'!$A:$R,10,0),"")&amp;IF(AND(IFERROR(VLOOKUP(A154,'Cadastro Geral Campistas'!$A:$R,15,0),"")&lt;&gt;"",LOWER(TRIM(IFERROR(VLOOKUP(A154,'Cadastro Geral Campistas'!$A:$R,15,0),"")))&lt;&gt;"não",LOWER(TRIM(IFERROR(VLOOKUP(A154,'Cadastro Geral Campistas'!$A:$R,15,0),"")))&lt;&gt;"nao",LOWER(TRIM(IFERROR(VLOOKUP(A154,'Cadastro Geral Campistas'!$A:$R,15,0),"")))&lt;&gt;"0")," | Alergia: "&amp;IFERROR(VLOOKUP(A154,'Cadastro Geral Campistas'!$A:$R,15,0),""),""),IF(AND(IFERROR(VLOOKUP(A154,'Cadastro Geral Campistas'!$A:$R,15,0),"")&lt;&gt;"",LOWER(TRIM(IFERROR(VLOOKUP(A154,'Cadastro Geral Campistas'!$A:$R,15,0),"")))&lt;&gt;"não",LOWER(TRIM(IFERROR(VLOOKUP(A154,'Cadastro Geral Campistas'!$A:$R,15,0),"")))&lt;&gt;"nao",LOWER(TRIM(IFERROR(VLOOKUP(A154,'Cadastro Geral Campistas'!$A:$R,15,0),"")))&lt;&gt;"0"),"Alergia: "&amp;IFERROR(VLOOKUP(A154,'Cadastro Geral Campistas'!$A:$R,15,0),""),""))))</f>
        <v/>
      </c>
      <c r="J154" s="81">
        <f>IFERROR(VLOOKUP(A154,'Cadastro Geral Campistas'!$A:$R,4,0),"")</f>
        <v/>
      </c>
    </row>
    <row r="155" ht="18" customHeight="1" s="121">
      <c r="A155" s="57" t="n">
        <v>133</v>
      </c>
      <c r="B155" s="7">
        <f>IFERROR(VLOOKUP(A155,'Cadastro Geral Campistas'!$A:$R,2,0),"")</f>
        <v/>
      </c>
      <c r="C155" s="6">
        <f>IFERROR(VLOOKUP(A155,'Cadastro Geral Campistas'!$A:$R,5,0),"")</f>
        <v/>
      </c>
      <c r="D155" s="6">
        <f>IFERROR(VLOOKUP(A155,'Cadastro Geral Campistas'!$A:$R,6,0),"")</f>
        <v/>
      </c>
      <c r="E155" s="6">
        <f>IFERROR(VLOOKUP(A155,'Cadastro Geral Campistas'!$A:$R,7,0),"")</f>
        <v/>
      </c>
      <c r="F155" s="7">
        <f>IFERROR(VLOOKUP(A155,'Cadastro Geral Campistas'!$A:$R,9,0),"")</f>
        <v/>
      </c>
      <c r="G155" s="6">
        <f>IFERROR(VLOOKUP(A155,'Cadastro Geral Campistas'!$A:$R,3,0),"")</f>
        <v/>
      </c>
      <c r="H155" s="7">
        <f>IFERROR(VLOOKUP(A155,'Cadastro Geral Campistas'!$A:$R,8,0),"")</f>
        <v/>
      </c>
      <c r="I155" s="101">
        <f>IF(AND(IFERROR(VLOOKUP(A155,'Cadastro Geral Campistas'!$A:$R,18,0),0)&gt;0,COUNTIF($A$149:$A$164,IFERROR(VLOOKUP(A155,'Cadastro Geral Campistas'!$A:$R,18,0),0))&gt;0),"⚠️ CONFLITO! Cônjuge na mesma tribo: "&amp;IFERROR(VLOOKUP(IFERROR(VLOOKUP(A155,'Cadastro Geral Campistas'!$A:$R,18,0),0),'Cadastro Geral Campistas'!$A:$R,2,""),""),TRIM(IF(AND(IFERROR(VLOOKUP(A155,'Cadastro Geral Campistas'!$A:$R,10,0),"")&lt;&gt;"",LOWER(TRIM(IFERROR(VLOOKUP(A155,'Cadastro Geral Campistas'!$A:$R,10,0),"")))&lt;&gt;"não",LOWER(TRIM(IFERROR(VLOOKUP(A155,'Cadastro Geral Campistas'!$A:$R,10,0),"")))&lt;&gt;"nao",LOWER(TRIM(IFERROR(VLOOKUP(A155,'Cadastro Geral Campistas'!$A:$R,10,0),"")))&lt;&gt;"0"),IFERROR(VLOOKUP(A155,'Cadastro Geral Campistas'!$A:$R,10,0),"")&amp;IF(AND(IFERROR(VLOOKUP(A155,'Cadastro Geral Campistas'!$A:$R,15,0),"")&lt;&gt;"",LOWER(TRIM(IFERROR(VLOOKUP(A155,'Cadastro Geral Campistas'!$A:$R,15,0),"")))&lt;&gt;"não",LOWER(TRIM(IFERROR(VLOOKUP(A155,'Cadastro Geral Campistas'!$A:$R,15,0),"")))&lt;&gt;"nao",LOWER(TRIM(IFERROR(VLOOKUP(A155,'Cadastro Geral Campistas'!$A:$R,15,0),"")))&lt;&gt;"0")," | Alergia: "&amp;IFERROR(VLOOKUP(A155,'Cadastro Geral Campistas'!$A:$R,15,0),""),""),IF(AND(IFERROR(VLOOKUP(A155,'Cadastro Geral Campistas'!$A:$R,15,0),"")&lt;&gt;"",LOWER(TRIM(IFERROR(VLOOKUP(A155,'Cadastro Geral Campistas'!$A:$R,15,0),"")))&lt;&gt;"não",LOWER(TRIM(IFERROR(VLOOKUP(A155,'Cadastro Geral Campistas'!$A:$R,15,0),"")))&lt;&gt;"nao",LOWER(TRIM(IFERROR(VLOOKUP(A155,'Cadastro Geral Campistas'!$A:$R,15,0),"")))&lt;&gt;"0"),"Alergia: "&amp;IFERROR(VLOOKUP(A155,'Cadastro Geral Campistas'!$A:$R,15,0),""),""))))</f>
        <v/>
      </c>
      <c r="J155" s="58">
        <f>IFERROR(VLOOKUP(A155,'Cadastro Geral Campistas'!$A:$R,4,0),"")</f>
        <v/>
      </c>
    </row>
    <row r="156" ht="18" customHeight="1" s="121">
      <c r="A156" s="80" t="n">
        <v>134</v>
      </c>
      <c r="B156" s="31">
        <f>IFERROR(VLOOKUP(A156,'Cadastro Geral Campistas'!$A:$R,2,0),"")</f>
        <v/>
      </c>
      <c r="C156" s="32">
        <f>IFERROR(VLOOKUP(A156,'Cadastro Geral Campistas'!$A:$R,5,0),"")</f>
        <v/>
      </c>
      <c r="D156" s="32">
        <f>IFERROR(VLOOKUP(A156,'Cadastro Geral Campistas'!$A:$R,6,0),"")</f>
        <v/>
      </c>
      <c r="E156" s="32">
        <f>IFERROR(VLOOKUP(A156,'Cadastro Geral Campistas'!$A:$R,7,0),"")</f>
        <v/>
      </c>
      <c r="F156" s="31">
        <f>IFERROR(VLOOKUP(A156,'Cadastro Geral Campistas'!$A:$R,9,0),"")</f>
        <v/>
      </c>
      <c r="G156" s="32">
        <f>IFERROR(VLOOKUP(A156,'Cadastro Geral Campistas'!$A:$R,3,0),"")</f>
        <v/>
      </c>
      <c r="H156" s="31">
        <f>IFERROR(VLOOKUP(A156,'Cadastro Geral Campistas'!$A:$R,8,0),"")</f>
        <v/>
      </c>
      <c r="I156" s="109">
        <f>IF(AND(IFERROR(VLOOKUP(A156,'Cadastro Geral Campistas'!$A:$R,18,0),0)&gt;0,COUNTIF($A$149:$A$164,IFERROR(VLOOKUP(A156,'Cadastro Geral Campistas'!$A:$R,18,0),0))&gt;0),"⚠️ CONFLITO! Cônjuge na mesma tribo: "&amp;IFERROR(VLOOKUP(IFERROR(VLOOKUP(A156,'Cadastro Geral Campistas'!$A:$R,18,0),0),'Cadastro Geral Campistas'!$A:$R,2,""),""),TRIM(IF(AND(IFERROR(VLOOKUP(A156,'Cadastro Geral Campistas'!$A:$R,10,0),"")&lt;&gt;"",LOWER(TRIM(IFERROR(VLOOKUP(A156,'Cadastro Geral Campistas'!$A:$R,10,0),"")))&lt;&gt;"não",LOWER(TRIM(IFERROR(VLOOKUP(A156,'Cadastro Geral Campistas'!$A:$R,10,0),"")))&lt;&gt;"nao",LOWER(TRIM(IFERROR(VLOOKUP(A156,'Cadastro Geral Campistas'!$A:$R,10,0),"")))&lt;&gt;"0"),IFERROR(VLOOKUP(A156,'Cadastro Geral Campistas'!$A:$R,10,0),"")&amp;IF(AND(IFERROR(VLOOKUP(A156,'Cadastro Geral Campistas'!$A:$R,15,0),"")&lt;&gt;"",LOWER(TRIM(IFERROR(VLOOKUP(A156,'Cadastro Geral Campistas'!$A:$R,15,0),"")))&lt;&gt;"não",LOWER(TRIM(IFERROR(VLOOKUP(A156,'Cadastro Geral Campistas'!$A:$R,15,0),"")))&lt;&gt;"nao",LOWER(TRIM(IFERROR(VLOOKUP(A156,'Cadastro Geral Campistas'!$A:$R,15,0),"")))&lt;&gt;"0")," | Alergia: "&amp;IFERROR(VLOOKUP(A156,'Cadastro Geral Campistas'!$A:$R,15,0),""),""),IF(AND(IFERROR(VLOOKUP(A156,'Cadastro Geral Campistas'!$A:$R,15,0),"")&lt;&gt;"",LOWER(TRIM(IFERROR(VLOOKUP(A156,'Cadastro Geral Campistas'!$A:$R,15,0),"")))&lt;&gt;"não",LOWER(TRIM(IFERROR(VLOOKUP(A156,'Cadastro Geral Campistas'!$A:$R,15,0),"")))&lt;&gt;"nao",LOWER(TRIM(IFERROR(VLOOKUP(A156,'Cadastro Geral Campistas'!$A:$R,15,0),"")))&lt;&gt;"0"),"Alergia: "&amp;IFERROR(VLOOKUP(A156,'Cadastro Geral Campistas'!$A:$R,15,0),""),""))))</f>
        <v/>
      </c>
      <c r="J156" s="81">
        <f>IFERROR(VLOOKUP(A156,'Cadastro Geral Campistas'!$A:$R,4,0),"")</f>
        <v/>
      </c>
    </row>
    <row r="157" ht="18" customHeight="1" s="121">
      <c r="A157" s="57" t="n">
        <v>1</v>
      </c>
      <c r="B157" s="7">
        <f>IFERROR(VLOOKUP(A157,'Cadastro Geral Campistas'!$A:$R,2,0),"")</f>
        <v/>
      </c>
      <c r="C157" s="6">
        <f>IFERROR(VLOOKUP(A157,'Cadastro Geral Campistas'!$A:$R,5,0),"")</f>
        <v/>
      </c>
      <c r="D157" s="6">
        <f>IFERROR(VLOOKUP(A157,'Cadastro Geral Campistas'!$A:$R,6,0),"")</f>
        <v/>
      </c>
      <c r="E157" s="6">
        <f>IFERROR(VLOOKUP(A157,'Cadastro Geral Campistas'!$A:$R,7,0),"")</f>
        <v/>
      </c>
      <c r="F157" s="7">
        <f>IFERROR(VLOOKUP(A157,'Cadastro Geral Campistas'!$A:$R,9,0),"")</f>
        <v/>
      </c>
      <c r="G157" s="6">
        <f>IFERROR(VLOOKUP(A157,'Cadastro Geral Campistas'!$A:$R,3,0),"")</f>
        <v/>
      </c>
      <c r="H157" s="7">
        <f>IFERROR(VLOOKUP(A157,'Cadastro Geral Campistas'!$A:$R,8,0),"")</f>
        <v/>
      </c>
      <c r="I157" s="101">
        <f>IF(AND(IFERROR(VLOOKUP(A157,'Cadastro Geral Campistas'!$A:$R,18,0),0)&gt;0,COUNTIF($A$149:$A$164,IFERROR(VLOOKUP(A157,'Cadastro Geral Campistas'!$A:$R,18,0),0))&gt;0),"⚠️ CONFLITO! Cônjuge na mesma tribo: "&amp;IFERROR(VLOOKUP(IFERROR(VLOOKUP(A157,'Cadastro Geral Campistas'!$A:$R,18,0),0),'Cadastro Geral Campistas'!$A:$R,2,""),""),TRIM(IF(AND(IFERROR(VLOOKUP(A157,'Cadastro Geral Campistas'!$A:$R,10,0),"")&lt;&gt;"",LOWER(TRIM(IFERROR(VLOOKUP(A157,'Cadastro Geral Campistas'!$A:$R,10,0),"")))&lt;&gt;"não",LOWER(TRIM(IFERROR(VLOOKUP(A157,'Cadastro Geral Campistas'!$A:$R,10,0),"")))&lt;&gt;"nao",LOWER(TRIM(IFERROR(VLOOKUP(A157,'Cadastro Geral Campistas'!$A:$R,10,0),"")))&lt;&gt;"0"),IFERROR(VLOOKUP(A157,'Cadastro Geral Campistas'!$A:$R,10,0),"")&amp;IF(AND(IFERROR(VLOOKUP(A157,'Cadastro Geral Campistas'!$A:$R,15,0),"")&lt;&gt;"",LOWER(TRIM(IFERROR(VLOOKUP(A157,'Cadastro Geral Campistas'!$A:$R,15,0),"")))&lt;&gt;"não",LOWER(TRIM(IFERROR(VLOOKUP(A157,'Cadastro Geral Campistas'!$A:$R,15,0),"")))&lt;&gt;"nao",LOWER(TRIM(IFERROR(VLOOKUP(A157,'Cadastro Geral Campistas'!$A:$R,15,0),"")))&lt;&gt;"0")," | Alergia: "&amp;IFERROR(VLOOKUP(A157,'Cadastro Geral Campistas'!$A:$R,15,0),""),""),IF(AND(IFERROR(VLOOKUP(A157,'Cadastro Geral Campistas'!$A:$R,15,0),"")&lt;&gt;"",LOWER(TRIM(IFERROR(VLOOKUP(A157,'Cadastro Geral Campistas'!$A:$R,15,0),"")))&lt;&gt;"não",LOWER(TRIM(IFERROR(VLOOKUP(A157,'Cadastro Geral Campistas'!$A:$R,15,0),"")))&lt;&gt;"nao",LOWER(TRIM(IFERROR(VLOOKUP(A157,'Cadastro Geral Campistas'!$A:$R,15,0),"")))&lt;&gt;"0"),"Alergia: "&amp;IFERROR(VLOOKUP(A157,'Cadastro Geral Campistas'!$A:$R,15,0),""),""))))</f>
        <v/>
      </c>
      <c r="J157" s="58">
        <f>IFERROR(VLOOKUP(A157,'Cadastro Geral Campistas'!$A:$R,4,0),"")</f>
        <v/>
      </c>
    </row>
    <row r="158" ht="18" customHeight="1" s="121">
      <c r="A158" s="55" t="n">
        <v>16</v>
      </c>
      <c r="B158" s="3">
        <f>IFERROR(VLOOKUP(A158,'Cadastro Geral Campistas'!$A:$R,2,0),"")</f>
        <v/>
      </c>
      <c r="C158" s="2">
        <f>IFERROR(VLOOKUP(A158,'Cadastro Geral Campistas'!$A:$R,5,0),"")</f>
        <v/>
      </c>
      <c r="D158" s="2">
        <f>IFERROR(VLOOKUP(A158,'Cadastro Geral Campistas'!$A:$R,6,0),"")</f>
        <v/>
      </c>
      <c r="E158" s="2">
        <f>IFERROR(VLOOKUP(A158,'Cadastro Geral Campistas'!$A:$R,7,0),"")</f>
        <v/>
      </c>
      <c r="F158" s="3">
        <f>IFERROR(VLOOKUP(A158,'Cadastro Geral Campistas'!$A:$R,9,0),"")</f>
        <v/>
      </c>
      <c r="G158" s="2">
        <f>IFERROR(VLOOKUP(A158,'Cadastro Geral Campistas'!$A:$R,3,0),"")</f>
        <v/>
      </c>
      <c r="H158" s="3">
        <f>IFERROR(VLOOKUP(A158,'Cadastro Geral Campistas'!$A:$R,8,0),"")</f>
        <v/>
      </c>
      <c r="I158" s="103">
        <f>IF(AND(IFERROR(VLOOKUP(A158,'Cadastro Geral Campistas'!$A:$R,18,0),0)&gt;0,COUNTIF($A$149:$A$164,IFERROR(VLOOKUP(A158,'Cadastro Geral Campistas'!$A:$R,18,0),0))&gt;0),"⚠️ CONFLITO! Cônjuge na mesma tribo: "&amp;IFERROR(VLOOKUP(IFERROR(VLOOKUP(A158,'Cadastro Geral Campistas'!$A:$R,18,0),0),'Cadastro Geral Campistas'!$A:$R,2,""),""),TRIM(IF(AND(IFERROR(VLOOKUP(A158,'Cadastro Geral Campistas'!$A:$R,10,0),"")&lt;&gt;"",LOWER(TRIM(IFERROR(VLOOKUP(A158,'Cadastro Geral Campistas'!$A:$R,10,0),"")))&lt;&gt;"não",LOWER(TRIM(IFERROR(VLOOKUP(A158,'Cadastro Geral Campistas'!$A:$R,10,0),"")))&lt;&gt;"nao",LOWER(TRIM(IFERROR(VLOOKUP(A158,'Cadastro Geral Campistas'!$A:$R,10,0),"")))&lt;&gt;"0"),IFERROR(VLOOKUP(A158,'Cadastro Geral Campistas'!$A:$R,10,0),"")&amp;IF(AND(IFERROR(VLOOKUP(A158,'Cadastro Geral Campistas'!$A:$R,15,0),"")&lt;&gt;"",LOWER(TRIM(IFERROR(VLOOKUP(A158,'Cadastro Geral Campistas'!$A:$R,15,0),"")))&lt;&gt;"não",LOWER(TRIM(IFERROR(VLOOKUP(A158,'Cadastro Geral Campistas'!$A:$R,15,0),"")))&lt;&gt;"nao",LOWER(TRIM(IFERROR(VLOOKUP(A158,'Cadastro Geral Campistas'!$A:$R,15,0),"")))&lt;&gt;"0")," | Alergia: "&amp;IFERROR(VLOOKUP(A158,'Cadastro Geral Campistas'!$A:$R,15,0),""),""),IF(AND(IFERROR(VLOOKUP(A158,'Cadastro Geral Campistas'!$A:$R,15,0),"")&lt;&gt;"",LOWER(TRIM(IFERROR(VLOOKUP(A158,'Cadastro Geral Campistas'!$A:$R,15,0),"")))&lt;&gt;"não",LOWER(TRIM(IFERROR(VLOOKUP(A158,'Cadastro Geral Campistas'!$A:$R,15,0),"")))&lt;&gt;"nao",LOWER(TRIM(IFERROR(VLOOKUP(A158,'Cadastro Geral Campistas'!$A:$R,15,0),"")))&lt;&gt;"0"),"Alergia: "&amp;IFERROR(VLOOKUP(A158,'Cadastro Geral Campistas'!$A:$R,15,0),""),""))))</f>
        <v/>
      </c>
      <c r="J158" s="56">
        <f>IFERROR(VLOOKUP(A158,'Cadastro Geral Campistas'!$A:$R,4,0),"")</f>
        <v/>
      </c>
    </row>
    <row r="159" ht="18" customHeight="1" s="121">
      <c r="A159" s="57" t="n">
        <v>20</v>
      </c>
      <c r="B159" s="7">
        <f>IFERROR(VLOOKUP(A159,'Cadastro Geral Campistas'!$A:$R,2,0),"")</f>
        <v/>
      </c>
      <c r="C159" s="6">
        <f>IFERROR(VLOOKUP(A159,'Cadastro Geral Campistas'!$A:$R,5,0),"")</f>
        <v/>
      </c>
      <c r="D159" s="6">
        <f>IFERROR(VLOOKUP(A159,'Cadastro Geral Campistas'!$A:$R,6,0),"")</f>
        <v/>
      </c>
      <c r="E159" s="6">
        <f>IFERROR(VLOOKUP(A159,'Cadastro Geral Campistas'!$A:$R,7,0),"")</f>
        <v/>
      </c>
      <c r="F159" s="7">
        <f>IFERROR(VLOOKUP(A159,'Cadastro Geral Campistas'!$A:$R,9,0),"")</f>
        <v/>
      </c>
      <c r="G159" s="6">
        <f>IFERROR(VLOOKUP(A159,'Cadastro Geral Campistas'!$A:$R,3,0),"")</f>
        <v/>
      </c>
      <c r="H159" s="7">
        <f>IFERROR(VLOOKUP(A159,'Cadastro Geral Campistas'!$A:$R,8,0),"")</f>
        <v/>
      </c>
      <c r="I159" s="101">
        <f>IF(AND(IFERROR(VLOOKUP(A159,'Cadastro Geral Campistas'!$A:$R,18,0),0)&gt;0,COUNTIF($A$149:$A$164,IFERROR(VLOOKUP(A159,'Cadastro Geral Campistas'!$A:$R,18,0),0))&gt;0),"⚠️ CONFLITO! Cônjuge na mesma tribo: "&amp;IFERROR(VLOOKUP(IFERROR(VLOOKUP(A159,'Cadastro Geral Campistas'!$A:$R,18,0),0),'Cadastro Geral Campistas'!$A:$R,2,""),""),TRIM(IF(AND(IFERROR(VLOOKUP(A159,'Cadastro Geral Campistas'!$A:$R,10,0),"")&lt;&gt;"",LOWER(TRIM(IFERROR(VLOOKUP(A159,'Cadastro Geral Campistas'!$A:$R,10,0),"")))&lt;&gt;"não",LOWER(TRIM(IFERROR(VLOOKUP(A159,'Cadastro Geral Campistas'!$A:$R,10,0),"")))&lt;&gt;"nao",LOWER(TRIM(IFERROR(VLOOKUP(A159,'Cadastro Geral Campistas'!$A:$R,10,0),"")))&lt;&gt;"0"),IFERROR(VLOOKUP(A159,'Cadastro Geral Campistas'!$A:$R,10,0),"")&amp;IF(AND(IFERROR(VLOOKUP(A159,'Cadastro Geral Campistas'!$A:$R,15,0),"")&lt;&gt;"",LOWER(TRIM(IFERROR(VLOOKUP(A159,'Cadastro Geral Campistas'!$A:$R,15,0),"")))&lt;&gt;"não",LOWER(TRIM(IFERROR(VLOOKUP(A159,'Cadastro Geral Campistas'!$A:$R,15,0),"")))&lt;&gt;"nao",LOWER(TRIM(IFERROR(VLOOKUP(A159,'Cadastro Geral Campistas'!$A:$R,15,0),"")))&lt;&gt;"0")," | Alergia: "&amp;IFERROR(VLOOKUP(A159,'Cadastro Geral Campistas'!$A:$R,15,0),""),""),IF(AND(IFERROR(VLOOKUP(A159,'Cadastro Geral Campistas'!$A:$R,15,0),"")&lt;&gt;"",LOWER(TRIM(IFERROR(VLOOKUP(A159,'Cadastro Geral Campistas'!$A:$R,15,0),"")))&lt;&gt;"não",LOWER(TRIM(IFERROR(VLOOKUP(A159,'Cadastro Geral Campistas'!$A:$R,15,0),"")))&lt;&gt;"nao",LOWER(TRIM(IFERROR(VLOOKUP(A159,'Cadastro Geral Campistas'!$A:$R,15,0),"")))&lt;&gt;"0"),"Alergia: "&amp;IFERROR(VLOOKUP(A159,'Cadastro Geral Campistas'!$A:$R,15,0),""),""))))</f>
        <v/>
      </c>
      <c r="J159" s="58">
        <f>IFERROR(VLOOKUP(A159,'Cadastro Geral Campistas'!$A:$R,4,0),"")</f>
        <v/>
      </c>
    </row>
    <row r="160" ht="18" customHeight="1" s="121">
      <c r="A160" s="55" t="n">
        <v>33</v>
      </c>
      <c r="B160" s="3">
        <f>IFERROR(VLOOKUP(A160,'Cadastro Geral Campistas'!$A:$R,2,0),"")</f>
        <v/>
      </c>
      <c r="C160" s="2">
        <f>IFERROR(VLOOKUP(A160,'Cadastro Geral Campistas'!$A:$R,5,0),"")</f>
        <v/>
      </c>
      <c r="D160" s="2">
        <f>IFERROR(VLOOKUP(A160,'Cadastro Geral Campistas'!$A:$R,6,0),"")</f>
        <v/>
      </c>
      <c r="E160" s="2">
        <f>IFERROR(VLOOKUP(A160,'Cadastro Geral Campistas'!$A:$R,7,0),"")</f>
        <v/>
      </c>
      <c r="F160" s="3">
        <f>IFERROR(VLOOKUP(A160,'Cadastro Geral Campistas'!$A:$R,9,0),"")</f>
        <v/>
      </c>
      <c r="G160" s="2">
        <f>IFERROR(VLOOKUP(A160,'Cadastro Geral Campistas'!$A:$R,3,0),"")</f>
        <v/>
      </c>
      <c r="H160" s="3">
        <f>IFERROR(VLOOKUP(A160,'Cadastro Geral Campistas'!$A:$R,8,0),"")</f>
        <v/>
      </c>
      <c r="I160" s="103">
        <f>IF(AND(IFERROR(VLOOKUP(A160,'Cadastro Geral Campistas'!$A:$R,18,0),0)&gt;0,COUNTIF($A$149:$A$164,IFERROR(VLOOKUP(A160,'Cadastro Geral Campistas'!$A:$R,18,0),0))&gt;0),"⚠️ CONFLITO! Cônjuge na mesma tribo: "&amp;IFERROR(VLOOKUP(IFERROR(VLOOKUP(A160,'Cadastro Geral Campistas'!$A:$R,18,0),0),'Cadastro Geral Campistas'!$A:$R,2,""),""),TRIM(IF(AND(IFERROR(VLOOKUP(A160,'Cadastro Geral Campistas'!$A:$R,10,0),"")&lt;&gt;"",LOWER(TRIM(IFERROR(VLOOKUP(A160,'Cadastro Geral Campistas'!$A:$R,10,0),"")))&lt;&gt;"não",LOWER(TRIM(IFERROR(VLOOKUP(A160,'Cadastro Geral Campistas'!$A:$R,10,0),"")))&lt;&gt;"nao",LOWER(TRIM(IFERROR(VLOOKUP(A160,'Cadastro Geral Campistas'!$A:$R,10,0),"")))&lt;&gt;"0"),IFERROR(VLOOKUP(A160,'Cadastro Geral Campistas'!$A:$R,10,0),"")&amp;IF(AND(IFERROR(VLOOKUP(A160,'Cadastro Geral Campistas'!$A:$R,15,0),"")&lt;&gt;"",LOWER(TRIM(IFERROR(VLOOKUP(A160,'Cadastro Geral Campistas'!$A:$R,15,0),"")))&lt;&gt;"não",LOWER(TRIM(IFERROR(VLOOKUP(A160,'Cadastro Geral Campistas'!$A:$R,15,0),"")))&lt;&gt;"nao",LOWER(TRIM(IFERROR(VLOOKUP(A160,'Cadastro Geral Campistas'!$A:$R,15,0),"")))&lt;&gt;"0")," | Alergia: "&amp;IFERROR(VLOOKUP(A160,'Cadastro Geral Campistas'!$A:$R,15,0),""),""),IF(AND(IFERROR(VLOOKUP(A160,'Cadastro Geral Campistas'!$A:$R,15,0),"")&lt;&gt;"",LOWER(TRIM(IFERROR(VLOOKUP(A160,'Cadastro Geral Campistas'!$A:$R,15,0),"")))&lt;&gt;"não",LOWER(TRIM(IFERROR(VLOOKUP(A160,'Cadastro Geral Campistas'!$A:$R,15,0),"")))&lt;&gt;"nao",LOWER(TRIM(IFERROR(VLOOKUP(A160,'Cadastro Geral Campistas'!$A:$R,15,0),"")))&lt;&gt;"0"),"Alergia: "&amp;IFERROR(VLOOKUP(A160,'Cadastro Geral Campistas'!$A:$R,15,0),""),""))))</f>
        <v/>
      </c>
      <c r="J160" s="56">
        <f>IFERROR(VLOOKUP(A160,'Cadastro Geral Campistas'!$A:$R,4,0),"")</f>
        <v/>
      </c>
    </row>
    <row r="161" ht="18" customHeight="1" s="121">
      <c r="A161" s="57" t="n">
        <v>41</v>
      </c>
      <c r="B161" s="7">
        <f>IFERROR(VLOOKUP(A161,'Cadastro Geral Campistas'!$A:$R,2,0),"")</f>
        <v/>
      </c>
      <c r="C161" s="6">
        <f>IFERROR(VLOOKUP(A161,'Cadastro Geral Campistas'!$A:$R,5,0),"")</f>
        <v/>
      </c>
      <c r="D161" s="6">
        <f>IFERROR(VLOOKUP(A161,'Cadastro Geral Campistas'!$A:$R,6,0),"")</f>
        <v/>
      </c>
      <c r="E161" s="6">
        <f>IFERROR(VLOOKUP(A161,'Cadastro Geral Campistas'!$A:$R,7,0),"")</f>
        <v/>
      </c>
      <c r="F161" s="7">
        <f>IFERROR(VLOOKUP(A161,'Cadastro Geral Campistas'!$A:$R,9,0),"")</f>
        <v/>
      </c>
      <c r="G161" s="6">
        <f>IFERROR(VLOOKUP(A161,'Cadastro Geral Campistas'!$A:$R,3,0),"")</f>
        <v/>
      </c>
      <c r="H161" s="7">
        <f>IFERROR(VLOOKUP(A161,'Cadastro Geral Campistas'!$A:$R,8,0),"")</f>
        <v/>
      </c>
      <c r="I161" s="101">
        <f>IF(AND(IFERROR(VLOOKUP(A161,'Cadastro Geral Campistas'!$A:$R,18,0),0)&gt;0,COUNTIF($A$149:$A$164,IFERROR(VLOOKUP(A161,'Cadastro Geral Campistas'!$A:$R,18,0),0))&gt;0),"⚠️ CONFLITO! Cônjuge na mesma tribo: "&amp;IFERROR(VLOOKUP(IFERROR(VLOOKUP(A161,'Cadastro Geral Campistas'!$A:$R,18,0),0),'Cadastro Geral Campistas'!$A:$R,2,""),""),TRIM(IF(AND(IFERROR(VLOOKUP(A161,'Cadastro Geral Campistas'!$A:$R,10,0),"")&lt;&gt;"",LOWER(TRIM(IFERROR(VLOOKUP(A161,'Cadastro Geral Campistas'!$A:$R,10,0),"")))&lt;&gt;"não",LOWER(TRIM(IFERROR(VLOOKUP(A161,'Cadastro Geral Campistas'!$A:$R,10,0),"")))&lt;&gt;"nao",LOWER(TRIM(IFERROR(VLOOKUP(A161,'Cadastro Geral Campistas'!$A:$R,10,0),"")))&lt;&gt;"0"),IFERROR(VLOOKUP(A161,'Cadastro Geral Campistas'!$A:$R,10,0),"")&amp;IF(AND(IFERROR(VLOOKUP(A161,'Cadastro Geral Campistas'!$A:$R,15,0),"")&lt;&gt;"",LOWER(TRIM(IFERROR(VLOOKUP(A161,'Cadastro Geral Campistas'!$A:$R,15,0),"")))&lt;&gt;"não",LOWER(TRIM(IFERROR(VLOOKUP(A161,'Cadastro Geral Campistas'!$A:$R,15,0),"")))&lt;&gt;"nao",LOWER(TRIM(IFERROR(VLOOKUP(A161,'Cadastro Geral Campistas'!$A:$R,15,0),"")))&lt;&gt;"0")," | Alergia: "&amp;IFERROR(VLOOKUP(A161,'Cadastro Geral Campistas'!$A:$R,15,0),""),""),IF(AND(IFERROR(VLOOKUP(A161,'Cadastro Geral Campistas'!$A:$R,15,0),"")&lt;&gt;"",LOWER(TRIM(IFERROR(VLOOKUP(A161,'Cadastro Geral Campistas'!$A:$R,15,0),"")))&lt;&gt;"não",LOWER(TRIM(IFERROR(VLOOKUP(A161,'Cadastro Geral Campistas'!$A:$R,15,0),"")))&lt;&gt;"nao",LOWER(TRIM(IFERROR(VLOOKUP(A161,'Cadastro Geral Campistas'!$A:$R,15,0),"")))&lt;&gt;"0"),"Alergia: "&amp;IFERROR(VLOOKUP(A161,'Cadastro Geral Campistas'!$A:$R,15,0),""),""))))</f>
        <v/>
      </c>
      <c r="J161" s="58">
        <f>IFERROR(VLOOKUP(A161,'Cadastro Geral Campistas'!$A:$R,4,0),"")</f>
        <v/>
      </c>
    </row>
    <row r="162" ht="18" customHeight="1" s="121">
      <c r="A162" s="80" t="n">
        <v>52</v>
      </c>
      <c r="B162" s="31">
        <f>IFERROR(VLOOKUP(A162,'Cadastro Geral Campistas'!$A:$R,2,0),"")</f>
        <v/>
      </c>
      <c r="C162" s="32">
        <f>IFERROR(VLOOKUP(A162,'Cadastro Geral Campistas'!$A:$R,5,0),"")</f>
        <v/>
      </c>
      <c r="D162" s="32">
        <f>IFERROR(VLOOKUP(A162,'Cadastro Geral Campistas'!$A:$R,6,0),"")</f>
        <v/>
      </c>
      <c r="E162" s="32">
        <f>IFERROR(VLOOKUP(A162,'Cadastro Geral Campistas'!$A:$R,7,0),"")</f>
        <v/>
      </c>
      <c r="F162" s="31">
        <f>IFERROR(VLOOKUP(A162,'Cadastro Geral Campistas'!$A:$R,9,0),"")</f>
        <v/>
      </c>
      <c r="G162" s="32">
        <f>IFERROR(VLOOKUP(A162,'Cadastro Geral Campistas'!$A:$R,3,0),"")</f>
        <v/>
      </c>
      <c r="H162" s="31">
        <f>IFERROR(VLOOKUP(A162,'Cadastro Geral Campistas'!$A:$R,8,0),"")</f>
        <v/>
      </c>
      <c r="I162" s="109">
        <f>IF(AND(IFERROR(VLOOKUP(A162,'Cadastro Geral Campistas'!$A:$R,18,0),0)&gt;0,COUNTIF($A$149:$A$164,IFERROR(VLOOKUP(A162,'Cadastro Geral Campistas'!$A:$R,18,0),0))&gt;0),"⚠️ CONFLITO! Cônjuge na mesma tribo: "&amp;IFERROR(VLOOKUP(IFERROR(VLOOKUP(A162,'Cadastro Geral Campistas'!$A:$R,18,0),0),'Cadastro Geral Campistas'!$A:$R,2,""),""),TRIM(IF(AND(IFERROR(VLOOKUP(A162,'Cadastro Geral Campistas'!$A:$R,10,0),"")&lt;&gt;"",LOWER(TRIM(IFERROR(VLOOKUP(A162,'Cadastro Geral Campistas'!$A:$R,10,0),"")))&lt;&gt;"não",LOWER(TRIM(IFERROR(VLOOKUP(A162,'Cadastro Geral Campistas'!$A:$R,10,0),"")))&lt;&gt;"nao",LOWER(TRIM(IFERROR(VLOOKUP(A162,'Cadastro Geral Campistas'!$A:$R,10,0),"")))&lt;&gt;"0"),IFERROR(VLOOKUP(A162,'Cadastro Geral Campistas'!$A:$R,10,0),"")&amp;IF(AND(IFERROR(VLOOKUP(A162,'Cadastro Geral Campistas'!$A:$R,15,0),"")&lt;&gt;"",LOWER(TRIM(IFERROR(VLOOKUP(A162,'Cadastro Geral Campistas'!$A:$R,15,0),"")))&lt;&gt;"não",LOWER(TRIM(IFERROR(VLOOKUP(A162,'Cadastro Geral Campistas'!$A:$R,15,0),"")))&lt;&gt;"nao",LOWER(TRIM(IFERROR(VLOOKUP(A162,'Cadastro Geral Campistas'!$A:$R,15,0),"")))&lt;&gt;"0")," | Alergia: "&amp;IFERROR(VLOOKUP(A162,'Cadastro Geral Campistas'!$A:$R,15,0),""),""),IF(AND(IFERROR(VLOOKUP(A162,'Cadastro Geral Campistas'!$A:$R,15,0),"")&lt;&gt;"",LOWER(TRIM(IFERROR(VLOOKUP(A162,'Cadastro Geral Campistas'!$A:$R,15,0),"")))&lt;&gt;"não",LOWER(TRIM(IFERROR(VLOOKUP(A162,'Cadastro Geral Campistas'!$A:$R,15,0),"")))&lt;&gt;"nao",LOWER(TRIM(IFERROR(VLOOKUP(A162,'Cadastro Geral Campistas'!$A:$R,15,0),"")))&lt;&gt;"0"),"Alergia: "&amp;IFERROR(VLOOKUP(A162,'Cadastro Geral Campistas'!$A:$R,15,0),""),""))))</f>
        <v/>
      </c>
      <c r="J162" s="81">
        <f>IFERROR(VLOOKUP(A162,'Cadastro Geral Campistas'!$A:$R,4,0),"")</f>
        <v/>
      </c>
    </row>
    <row r="163" ht="18" customHeight="1" s="121">
      <c r="A163" s="57" t="n">
        <v>115</v>
      </c>
      <c r="B163" s="7">
        <f>IFERROR(VLOOKUP(A163,'Cadastro Geral Campistas'!$A:$R,2,0),"")</f>
        <v/>
      </c>
      <c r="C163" s="6">
        <f>IFERROR(VLOOKUP(A163,'Cadastro Geral Campistas'!$A:$R,5,0),"")</f>
        <v/>
      </c>
      <c r="D163" s="6">
        <f>IFERROR(VLOOKUP(A163,'Cadastro Geral Campistas'!$A:$R,6,0),"")</f>
        <v/>
      </c>
      <c r="E163" s="6">
        <f>IFERROR(VLOOKUP(A163,'Cadastro Geral Campistas'!$A:$R,7,0),"")</f>
        <v/>
      </c>
      <c r="F163" s="7">
        <f>IFERROR(VLOOKUP(A163,'Cadastro Geral Campistas'!$A:$R,9,0),"")</f>
        <v/>
      </c>
      <c r="G163" s="6">
        <f>IFERROR(VLOOKUP(A163,'Cadastro Geral Campistas'!$A:$R,3,0),"")</f>
        <v/>
      </c>
      <c r="H163" s="7">
        <f>IFERROR(VLOOKUP(A163,'Cadastro Geral Campistas'!$A:$R,8,0),"")</f>
        <v/>
      </c>
      <c r="I163" s="101">
        <f>IF(AND(IFERROR(VLOOKUP(A163,'Cadastro Geral Campistas'!$A:$R,18,0),0)&gt;0,COUNTIF($A$149:$A$164,IFERROR(VLOOKUP(A163,'Cadastro Geral Campistas'!$A:$R,18,0),0))&gt;0),"⚠️ CONFLITO! Cônjuge na mesma tribo: "&amp;IFERROR(VLOOKUP(IFERROR(VLOOKUP(A163,'Cadastro Geral Campistas'!$A:$R,18,0),0),'Cadastro Geral Campistas'!$A:$R,2,""),""),TRIM(IF(AND(IFERROR(VLOOKUP(A163,'Cadastro Geral Campistas'!$A:$R,10,0),"")&lt;&gt;"",LOWER(TRIM(IFERROR(VLOOKUP(A163,'Cadastro Geral Campistas'!$A:$R,10,0),"")))&lt;&gt;"não",LOWER(TRIM(IFERROR(VLOOKUP(A163,'Cadastro Geral Campistas'!$A:$R,10,0),"")))&lt;&gt;"nao",LOWER(TRIM(IFERROR(VLOOKUP(A163,'Cadastro Geral Campistas'!$A:$R,10,0),"")))&lt;&gt;"0"),IFERROR(VLOOKUP(A163,'Cadastro Geral Campistas'!$A:$R,10,0),"")&amp;IF(AND(IFERROR(VLOOKUP(A163,'Cadastro Geral Campistas'!$A:$R,15,0),"")&lt;&gt;"",LOWER(TRIM(IFERROR(VLOOKUP(A163,'Cadastro Geral Campistas'!$A:$R,15,0),"")))&lt;&gt;"não",LOWER(TRIM(IFERROR(VLOOKUP(A163,'Cadastro Geral Campistas'!$A:$R,15,0),"")))&lt;&gt;"nao",LOWER(TRIM(IFERROR(VLOOKUP(A163,'Cadastro Geral Campistas'!$A:$R,15,0),"")))&lt;&gt;"0")," | Alergia: "&amp;IFERROR(VLOOKUP(A163,'Cadastro Geral Campistas'!$A:$R,15,0),""),""),IF(AND(IFERROR(VLOOKUP(A163,'Cadastro Geral Campistas'!$A:$R,15,0),"")&lt;&gt;"",LOWER(TRIM(IFERROR(VLOOKUP(A163,'Cadastro Geral Campistas'!$A:$R,15,0),"")))&lt;&gt;"não",LOWER(TRIM(IFERROR(VLOOKUP(A163,'Cadastro Geral Campistas'!$A:$R,15,0),"")))&lt;&gt;"nao",LOWER(TRIM(IFERROR(VLOOKUP(A163,'Cadastro Geral Campistas'!$A:$R,15,0),"")))&lt;&gt;"0"),"Alergia: "&amp;IFERROR(VLOOKUP(A163,'Cadastro Geral Campistas'!$A:$R,15,0),""),""))))</f>
        <v/>
      </c>
      <c r="J163" s="58">
        <f>IFERROR(VLOOKUP(A163,'Cadastro Geral Campistas'!$A:$R,4,0),"")</f>
        <v/>
      </c>
    </row>
    <row r="164" ht="18" customHeight="1" s="121">
      <c r="A164" s="80" t="n">
        <v>131</v>
      </c>
      <c r="B164" s="31">
        <f>IFERROR(VLOOKUP(A164,'Cadastro Geral Campistas'!$A:$R,2,0),"")</f>
        <v/>
      </c>
      <c r="C164" s="32">
        <f>IFERROR(VLOOKUP(A164,'Cadastro Geral Campistas'!$A:$R,5,0),"")</f>
        <v/>
      </c>
      <c r="D164" s="32">
        <f>IFERROR(VLOOKUP(A164,'Cadastro Geral Campistas'!$A:$R,6,0),"")</f>
        <v/>
      </c>
      <c r="E164" s="32">
        <f>IFERROR(VLOOKUP(A164,'Cadastro Geral Campistas'!$A:$R,7,0),"")</f>
        <v/>
      </c>
      <c r="F164" s="31">
        <f>IFERROR(VLOOKUP(A164,'Cadastro Geral Campistas'!$A:$R,9,0),"")</f>
        <v/>
      </c>
      <c r="G164" s="32">
        <f>IFERROR(VLOOKUP(A164,'Cadastro Geral Campistas'!$A:$R,3,0),"")</f>
        <v/>
      </c>
      <c r="H164" s="31">
        <f>IFERROR(VLOOKUP(A164,'Cadastro Geral Campistas'!$A:$R,8,0),"")</f>
        <v/>
      </c>
      <c r="I164" s="109">
        <f>IF(AND(IFERROR(VLOOKUP(A164,'Cadastro Geral Campistas'!$A:$R,18,0),0)&gt;0,COUNTIF($A$149:$A$164,IFERROR(VLOOKUP(A164,'Cadastro Geral Campistas'!$A:$R,18,0),0))&gt;0),"⚠️ CONFLITO! Cônjuge na mesma tribo: "&amp;IFERROR(VLOOKUP(IFERROR(VLOOKUP(A164,'Cadastro Geral Campistas'!$A:$R,18,0),0),'Cadastro Geral Campistas'!$A:$R,2,""),""),TRIM(IF(AND(IFERROR(VLOOKUP(A164,'Cadastro Geral Campistas'!$A:$R,10,0),"")&lt;&gt;"",LOWER(TRIM(IFERROR(VLOOKUP(A164,'Cadastro Geral Campistas'!$A:$R,10,0),"")))&lt;&gt;"não",LOWER(TRIM(IFERROR(VLOOKUP(A164,'Cadastro Geral Campistas'!$A:$R,10,0),"")))&lt;&gt;"nao",LOWER(TRIM(IFERROR(VLOOKUP(A164,'Cadastro Geral Campistas'!$A:$R,10,0),"")))&lt;&gt;"0"),IFERROR(VLOOKUP(A164,'Cadastro Geral Campistas'!$A:$R,10,0),"")&amp;IF(AND(IFERROR(VLOOKUP(A164,'Cadastro Geral Campistas'!$A:$R,15,0),"")&lt;&gt;"",LOWER(TRIM(IFERROR(VLOOKUP(A164,'Cadastro Geral Campistas'!$A:$R,15,0),"")))&lt;&gt;"não",LOWER(TRIM(IFERROR(VLOOKUP(A164,'Cadastro Geral Campistas'!$A:$R,15,0),"")))&lt;&gt;"nao",LOWER(TRIM(IFERROR(VLOOKUP(A164,'Cadastro Geral Campistas'!$A:$R,15,0),"")))&lt;&gt;"0")," | Alergia: "&amp;IFERROR(VLOOKUP(A164,'Cadastro Geral Campistas'!$A:$R,15,0),""),""),IF(AND(IFERROR(VLOOKUP(A164,'Cadastro Geral Campistas'!$A:$R,15,0),"")&lt;&gt;"",LOWER(TRIM(IFERROR(VLOOKUP(A164,'Cadastro Geral Campistas'!$A:$R,15,0),"")))&lt;&gt;"não",LOWER(TRIM(IFERROR(VLOOKUP(A164,'Cadastro Geral Campistas'!$A:$R,15,0),"")))&lt;&gt;"nao",LOWER(TRIM(IFERROR(VLOOKUP(A164,'Cadastro Geral Campistas'!$A:$R,15,0),"")))&lt;&gt;"0"),"Alergia: "&amp;IFERROR(VLOOKUP(A164,'Cadastro Geral Campistas'!$A:$R,15,0),""),""))))</f>
        <v/>
      </c>
      <c r="J164" s="81">
        <f>IFERROR(VLOOKUP(A164,'Cadastro Geral Campistas'!$A:$R,4,0),"")</f>
        <v/>
      </c>
    </row>
    <row r="165">
      <c r="A165" s="61" t="inlineStr">
        <is>
          <t>MÉDIA&gt;&gt;&gt;&gt;&gt;&gt;&gt;&gt;&gt;</t>
        </is>
      </c>
      <c r="B165" s="20" t="n"/>
      <c r="C165" s="20">
        <f>IFERROR(ROUND(AVERAGE(C149:C164),1),"")</f>
        <v/>
      </c>
      <c r="D165" s="20" t="n"/>
      <c r="E165" s="20">
        <f>IFERROR(ROUND(AVERAGE(E149:E164),1),"")</f>
        <v/>
      </c>
      <c r="F165" s="117" t="n"/>
      <c r="G165" s="117" t="n"/>
      <c r="H165" s="117" t="n"/>
      <c r="I165" s="126">
        <f>COUNTIF(J149:J164,"F")&amp;"  F    |    "&amp;COUNTIF(J149:J164,"M")&amp;"  M"</f>
        <v/>
      </c>
      <c r="J165" s="127" t="n"/>
    </row>
    <row r="166">
      <c r="A166" s="118" t="n"/>
      <c r="B166" s="119" t="n"/>
      <c r="C166" s="119" t="n"/>
      <c r="D166" s="119" t="n"/>
      <c r="E166" s="119" t="n"/>
      <c r="F166" s="119" t="n"/>
      <c r="G166" s="119" t="n"/>
      <c r="H166" s="119" t="n"/>
      <c r="I166" s="138" t="inlineStr">
        <is>
          <t>Sequências das dinâmicas:</t>
        </is>
      </c>
      <c r="J166" s="131" t="n"/>
    </row>
    <row r="167">
      <c r="A167" s="120" t="n"/>
      <c r="I167" s="124" t="inlineStr">
        <is>
          <t>1 - Salto da Fé</t>
        </is>
      </c>
      <c r="J167" s="125" t="n"/>
    </row>
    <row r="168">
      <c r="A168" s="120" t="n"/>
      <c r="I168" s="124" t="inlineStr">
        <is>
          <t>2 - Cabana</t>
        </is>
      </c>
      <c r="J168" s="125" t="n"/>
    </row>
    <row r="169">
      <c r="A169" s="120" t="n"/>
      <c r="I169" s="124" t="inlineStr">
        <is>
          <t>3 - Casa da Misericórdia</t>
        </is>
      </c>
      <c r="J169" s="125" t="n"/>
    </row>
    <row r="170">
      <c r="A170" s="120" t="n"/>
      <c r="I170" s="124" t="inlineStr">
        <is>
          <t>4 - Metrô</t>
        </is>
      </c>
      <c r="J170" s="125" t="n"/>
    </row>
    <row r="171">
      <c r="A171" s="120" t="n"/>
      <c r="I171" s="124" t="inlineStr">
        <is>
          <t>5 - Paredão</t>
        </is>
      </c>
      <c r="J171" s="125" t="n"/>
    </row>
    <row r="172">
      <c r="A172" s="120" t="n"/>
      <c r="I172" s="124" t="inlineStr">
        <is>
          <t>6 - Casa do Pai</t>
        </is>
      </c>
      <c r="J172" s="125" t="n"/>
    </row>
    <row r="173">
      <c r="A173" s="120" t="n"/>
      <c r="I173" s="124" t="inlineStr">
        <is>
          <t>7 - Espelho</t>
        </is>
      </c>
      <c r="J173" s="125" t="n"/>
    </row>
    <row r="174">
      <c r="A174" s="120" t="n"/>
      <c r="I174" s="124" t="inlineStr">
        <is>
          <t>8 - Balanço</t>
        </is>
      </c>
      <c r="J174" s="125" t="n"/>
    </row>
    <row r="175" ht="14.7" customHeight="1" s="121" thickBot="1">
      <c r="A175" s="122" t="n"/>
      <c r="B175" s="123" t="n"/>
      <c r="C175" s="123" t="n"/>
      <c r="D175" s="123" t="n"/>
      <c r="E175" s="123" t="n"/>
      <c r="F175" s="123" t="n"/>
      <c r="G175" s="123" t="n"/>
      <c r="H175" s="123" t="n"/>
      <c r="I175" s="132" t="inlineStr">
        <is>
          <t>9 - Casa de Maria</t>
        </is>
      </c>
      <c r="J175" s="133" t="n"/>
    </row>
    <row r="176" ht="28" customHeight="1" s="121">
      <c r="A176" s="135" t="inlineStr">
        <is>
          <t>Cor: Verde</t>
        </is>
      </c>
      <c r="B176" s="136" t="n"/>
      <c r="C176" s="136" t="n"/>
      <c r="D176" s="136" t="n"/>
      <c r="E176" s="176" t="inlineStr">
        <is>
          <t>Tribo Issacar</t>
        </is>
      </c>
      <c r="F176" s="136" t="n"/>
      <c r="G176" s="136" t="n"/>
      <c r="H176" s="136" t="n"/>
      <c r="I176" s="136" t="n"/>
      <c r="J176" s="144" t="n"/>
    </row>
    <row r="177">
      <c r="A177" s="149" t="inlineStr">
        <is>
          <t>Anjos:</t>
        </is>
      </c>
      <c r="D177" s="128" t="n"/>
      <c r="G177" s="140" t="inlineStr">
        <is>
          <t>Anjo Guardião:</t>
        </is>
      </c>
      <c r="J177" s="125" t="n"/>
    </row>
    <row r="178">
      <c r="A178" s="120" t="n"/>
      <c r="J178" s="125" t="n"/>
    </row>
    <row r="179">
      <c r="A179" s="120" t="n"/>
      <c r="J179" s="125" t="n"/>
    </row>
    <row r="180">
      <c r="A180" s="137" t="inlineStr">
        <is>
          <t>Lucas Assis</t>
        </is>
      </c>
      <c r="G180" s="182" t="inlineStr">
        <is>
          <t>Wendel</t>
        </is>
      </c>
      <c r="J180" s="125" t="n"/>
    </row>
    <row r="181">
      <c r="A181" s="137" t="inlineStr">
        <is>
          <t>Barbara Kisner</t>
        </is>
      </c>
      <c r="J181" s="125" t="n"/>
    </row>
    <row r="182">
      <c r="A182" s="120" t="n"/>
      <c r="D182" s="129" t="n"/>
      <c r="E182" s="129" t="n"/>
      <c r="F182" s="129" t="n"/>
      <c r="J182" s="125" t="n"/>
    </row>
    <row r="183">
      <c r="A183" s="82" t="inlineStr">
        <is>
          <t>Ficha ✏️</t>
        </is>
      </c>
      <c r="B183" s="33" t="inlineStr">
        <is>
          <t>Nome</t>
        </is>
      </c>
      <c r="C183" s="33" t="inlineStr">
        <is>
          <t>Peso</t>
        </is>
      </c>
      <c r="D183" s="33" t="inlineStr">
        <is>
          <t>Alt</t>
        </is>
      </c>
      <c r="E183" s="33" t="inlineStr">
        <is>
          <t>Idade</t>
        </is>
      </c>
      <c r="F183" s="33" t="inlineStr">
        <is>
          <t>Cidade</t>
        </is>
      </c>
      <c r="G183" s="33" t="inlineStr">
        <is>
          <t>Camiseta</t>
        </is>
      </c>
      <c r="H183" s="33" t="inlineStr">
        <is>
          <t>Celular</t>
        </is>
      </c>
      <c r="I183" s="33" t="inlineStr">
        <is>
          <t>⚠️ Alerta / Observações</t>
        </is>
      </c>
      <c r="J183" s="83" t="inlineStr">
        <is>
          <t>Sexo</t>
        </is>
      </c>
    </row>
    <row r="184" ht="18" customHeight="1" s="121">
      <c r="A184" s="57" t="n">
        <v>23</v>
      </c>
      <c r="B184" s="7">
        <f>IFERROR(VLOOKUP(A184,'Cadastro Geral Campistas'!$A:$R,2,0),"")</f>
        <v/>
      </c>
      <c r="C184" s="6">
        <f>IFERROR(VLOOKUP(A184,'Cadastro Geral Campistas'!$A:$R,5,0),"")</f>
        <v/>
      </c>
      <c r="D184" s="6">
        <f>IFERROR(VLOOKUP(A184,'Cadastro Geral Campistas'!$A:$R,6,0),"")</f>
        <v/>
      </c>
      <c r="E184" s="6">
        <f>IFERROR(VLOOKUP(A184,'Cadastro Geral Campistas'!$A:$R,7,0),"")</f>
        <v/>
      </c>
      <c r="F184" s="7">
        <f>IFERROR(VLOOKUP(A184,'Cadastro Geral Campistas'!$A:$R,9,0),"")</f>
        <v/>
      </c>
      <c r="G184" s="6">
        <f>IFERROR(VLOOKUP(A184,'Cadastro Geral Campistas'!$A:$R,3,0),"")</f>
        <v/>
      </c>
      <c r="H184" s="7">
        <f>IFERROR(VLOOKUP(A184,'Cadastro Geral Campistas'!$A:$R,8,0),"")</f>
        <v/>
      </c>
      <c r="I184" s="101">
        <f>IF(AND(IFERROR(VLOOKUP(A184,'Cadastro Geral Campistas'!$A:$R,18,0),0)&gt;0,COUNTIF($A$184:$A$199,IFERROR(VLOOKUP(A184,'Cadastro Geral Campistas'!$A:$R,18,0),0))&gt;0),"⚠️ CONFLITO! Cônjuge na mesma tribo: "&amp;IFERROR(VLOOKUP(IFERROR(VLOOKUP(A184,'Cadastro Geral Campistas'!$A:$R,18,0),0),'Cadastro Geral Campistas'!$A:$R,2,""),""),TRIM(IF(AND(IFERROR(VLOOKUP(A184,'Cadastro Geral Campistas'!$A:$R,10,0),"")&lt;&gt;"",LOWER(TRIM(IFERROR(VLOOKUP(A184,'Cadastro Geral Campistas'!$A:$R,10,0),"")))&lt;&gt;"não",LOWER(TRIM(IFERROR(VLOOKUP(A184,'Cadastro Geral Campistas'!$A:$R,10,0),"")))&lt;&gt;"nao",LOWER(TRIM(IFERROR(VLOOKUP(A184,'Cadastro Geral Campistas'!$A:$R,10,0),"")))&lt;&gt;"0"),IFERROR(VLOOKUP(A184,'Cadastro Geral Campistas'!$A:$R,10,0),"")&amp;IF(AND(IFERROR(VLOOKUP(A184,'Cadastro Geral Campistas'!$A:$R,15,0),"")&lt;&gt;"",LOWER(TRIM(IFERROR(VLOOKUP(A184,'Cadastro Geral Campistas'!$A:$R,15,0),"")))&lt;&gt;"não",LOWER(TRIM(IFERROR(VLOOKUP(A184,'Cadastro Geral Campistas'!$A:$R,15,0),"")))&lt;&gt;"nao",LOWER(TRIM(IFERROR(VLOOKUP(A184,'Cadastro Geral Campistas'!$A:$R,15,0),"")))&lt;&gt;"0")," | Alergia: "&amp;IFERROR(VLOOKUP(A184,'Cadastro Geral Campistas'!$A:$R,15,0),""),""),IF(AND(IFERROR(VLOOKUP(A184,'Cadastro Geral Campistas'!$A:$R,15,0),"")&lt;&gt;"",LOWER(TRIM(IFERROR(VLOOKUP(A184,'Cadastro Geral Campistas'!$A:$R,15,0),"")))&lt;&gt;"não",LOWER(TRIM(IFERROR(VLOOKUP(A184,'Cadastro Geral Campistas'!$A:$R,15,0),"")))&lt;&gt;"nao",LOWER(TRIM(IFERROR(VLOOKUP(A184,'Cadastro Geral Campistas'!$A:$R,15,0),"")))&lt;&gt;"0"),"Alergia: "&amp;IFERROR(VLOOKUP(A184,'Cadastro Geral Campistas'!$A:$R,15,0),""),""))))</f>
        <v/>
      </c>
      <c r="J184" s="58">
        <f>IFERROR(VLOOKUP(A184,'Cadastro Geral Campistas'!$A:$R,4,0),"")</f>
        <v/>
      </c>
    </row>
    <row r="185" ht="18" customHeight="1" s="121">
      <c r="A185" s="84" t="n">
        <v>57</v>
      </c>
      <c r="B185" s="34">
        <f>IFERROR(VLOOKUP(A185,'Cadastro Geral Campistas'!$A:$R,2,0),"")</f>
        <v/>
      </c>
      <c r="C185" s="35">
        <f>IFERROR(VLOOKUP(A185,'Cadastro Geral Campistas'!$A:$R,5,0),"")</f>
        <v/>
      </c>
      <c r="D185" s="35">
        <f>IFERROR(VLOOKUP(A185,'Cadastro Geral Campistas'!$A:$R,6,0),"")</f>
        <v/>
      </c>
      <c r="E185" s="35">
        <f>IFERROR(VLOOKUP(A185,'Cadastro Geral Campistas'!$A:$R,7,0),"")</f>
        <v/>
      </c>
      <c r="F185" s="34">
        <f>IFERROR(VLOOKUP(A185,'Cadastro Geral Campistas'!$A:$R,9,0),"")</f>
        <v/>
      </c>
      <c r="G185" s="35">
        <f>IFERROR(VLOOKUP(A185,'Cadastro Geral Campistas'!$A:$R,3,0),"")</f>
        <v/>
      </c>
      <c r="H185" s="34">
        <f>IFERROR(VLOOKUP(A185,'Cadastro Geral Campistas'!$A:$R,8,0),"")</f>
        <v/>
      </c>
      <c r="I185" s="110">
        <f>IF(AND(IFERROR(VLOOKUP(A185,'Cadastro Geral Campistas'!$A:$R,18,0),0)&gt;0,COUNTIF($A$184:$A$199,IFERROR(VLOOKUP(A185,'Cadastro Geral Campistas'!$A:$R,18,0),0))&gt;0),"⚠️ CONFLITO! Cônjuge na mesma tribo: "&amp;IFERROR(VLOOKUP(IFERROR(VLOOKUP(A185,'Cadastro Geral Campistas'!$A:$R,18,0),0),'Cadastro Geral Campistas'!$A:$R,2,""),""),TRIM(IF(AND(IFERROR(VLOOKUP(A185,'Cadastro Geral Campistas'!$A:$R,10,0),"")&lt;&gt;"",LOWER(TRIM(IFERROR(VLOOKUP(A185,'Cadastro Geral Campistas'!$A:$R,10,0),"")))&lt;&gt;"não",LOWER(TRIM(IFERROR(VLOOKUP(A185,'Cadastro Geral Campistas'!$A:$R,10,0),"")))&lt;&gt;"nao",LOWER(TRIM(IFERROR(VLOOKUP(A185,'Cadastro Geral Campistas'!$A:$R,10,0),"")))&lt;&gt;"0"),IFERROR(VLOOKUP(A185,'Cadastro Geral Campistas'!$A:$R,10,0),"")&amp;IF(AND(IFERROR(VLOOKUP(A185,'Cadastro Geral Campistas'!$A:$R,15,0),"")&lt;&gt;"",LOWER(TRIM(IFERROR(VLOOKUP(A185,'Cadastro Geral Campistas'!$A:$R,15,0),"")))&lt;&gt;"não",LOWER(TRIM(IFERROR(VLOOKUP(A185,'Cadastro Geral Campistas'!$A:$R,15,0),"")))&lt;&gt;"nao",LOWER(TRIM(IFERROR(VLOOKUP(A185,'Cadastro Geral Campistas'!$A:$R,15,0),"")))&lt;&gt;"0")," | Alergia: "&amp;IFERROR(VLOOKUP(A185,'Cadastro Geral Campistas'!$A:$R,15,0),""),""),IF(AND(IFERROR(VLOOKUP(A185,'Cadastro Geral Campistas'!$A:$R,15,0),"")&lt;&gt;"",LOWER(TRIM(IFERROR(VLOOKUP(A185,'Cadastro Geral Campistas'!$A:$R,15,0),"")))&lt;&gt;"não",LOWER(TRIM(IFERROR(VLOOKUP(A185,'Cadastro Geral Campistas'!$A:$R,15,0),"")))&lt;&gt;"nao",LOWER(TRIM(IFERROR(VLOOKUP(A185,'Cadastro Geral Campistas'!$A:$R,15,0),"")))&lt;&gt;"0"),"Alergia: "&amp;IFERROR(VLOOKUP(A185,'Cadastro Geral Campistas'!$A:$R,15,0),""),""))))</f>
        <v/>
      </c>
      <c r="J185" s="85">
        <f>IFERROR(VLOOKUP(A185,'Cadastro Geral Campistas'!$A:$R,4,0),"")</f>
        <v/>
      </c>
    </row>
    <row r="186" ht="18" customHeight="1" s="121">
      <c r="A186" s="57" t="n">
        <v>75</v>
      </c>
      <c r="B186" s="7">
        <f>IFERROR(VLOOKUP(A186,'Cadastro Geral Campistas'!$A:$R,2,0),"")</f>
        <v/>
      </c>
      <c r="C186" s="6">
        <f>IFERROR(VLOOKUP(A186,'Cadastro Geral Campistas'!$A:$R,5,0),"")</f>
        <v/>
      </c>
      <c r="D186" s="6">
        <f>IFERROR(VLOOKUP(A186,'Cadastro Geral Campistas'!$A:$R,6,0),"")</f>
        <v/>
      </c>
      <c r="E186" s="6">
        <f>IFERROR(VLOOKUP(A186,'Cadastro Geral Campistas'!$A:$R,7,0),"")</f>
        <v/>
      </c>
      <c r="F186" s="7">
        <f>IFERROR(VLOOKUP(A186,'Cadastro Geral Campistas'!$A:$R,9,0),"")</f>
        <v/>
      </c>
      <c r="G186" s="6">
        <f>IFERROR(VLOOKUP(A186,'Cadastro Geral Campistas'!$A:$R,3,0),"")</f>
        <v/>
      </c>
      <c r="H186" s="7">
        <f>IFERROR(VLOOKUP(A186,'Cadastro Geral Campistas'!$A:$R,8,0),"")</f>
        <v/>
      </c>
      <c r="I186" s="101">
        <f>IF(AND(IFERROR(VLOOKUP(A186,'Cadastro Geral Campistas'!$A:$R,18,0),0)&gt;0,COUNTIF($A$184:$A$199,IFERROR(VLOOKUP(A186,'Cadastro Geral Campistas'!$A:$R,18,0),0))&gt;0),"⚠️ CONFLITO! Cônjuge na mesma tribo: "&amp;IFERROR(VLOOKUP(IFERROR(VLOOKUP(A186,'Cadastro Geral Campistas'!$A:$R,18,0),0),'Cadastro Geral Campistas'!$A:$R,2,""),""),TRIM(IF(AND(IFERROR(VLOOKUP(A186,'Cadastro Geral Campistas'!$A:$R,10,0),"")&lt;&gt;"",LOWER(TRIM(IFERROR(VLOOKUP(A186,'Cadastro Geral Campistas'!$A:$R,10,0),"")))&lt;&gt;"não",LOWER(TRIM(IFERROR(VLOOKUP(A186,'Cadastro Geral Campistas'!$A:$R,10,0),"")))&lt;&gt;"nao",LOWER(TRIM(IFERROR(VLOOKUP(A186,'Cadastro Geral Campistas'!$A:$R,10,0),"")))&lt;&gt;"0"),IFERROR(VLOOKUP(A186,'Cadastro Geral Campistas'!$A:$R,10,0),"")&amp;IF(AND(IFERROR(VLOOKUP(A186,'Cadastro Geral Campistas'!$A:$R,15,0),"")&lt;&gt;"",LOWER(TRIM(IFERROR(VLOOKUP(A186,'Cadastro Geral Campistas'!$A:$R,15,0),"")))&lt;&gt;"não",LOWER(TRIM(IFERROR(VLOOKUP(A186,'Cadastro Geral Campistas'!$A:$R,15,0),"")))&lt;&gt;"nao",LOWER(TRIM(IFERROR(VLOOKUP(A186,'Cadastro Geral Campistas'!$A:$R,15,0),"")))&lt;&gt;"0")," | Alergia: "&amp;IFERROR(VLOOKUP(A186,'Cadastro Geral Campistas'!$A:$R,15,0),""),""),IF(AND(IFERROR(VLOOKUP(A186,'Cadastro Geral Campistas'!$A:$R,15,0),"")&lt;&gt;"",LOWER(TRIM(IFERROR(VLOOKUP(A186,'Cadastro Geral Campistas'!$A:$R,15,0),"")))&lt;&gt;"não",LOWER(TRIM(IFERROR(VLOOKUP(A186,'Cadastro Geral Campistas'!$A:$R,15,0),"")))&lt;&gt;"nao",LOWER(TRIM(IFERROR(VLOOKUP(A186,'Cadastro Geral Campistas'!$A:$R,15,0),"")))&lt;&gt;"0"),"Alergia: "&amp;IFERROR(VLOOKUP(A186,'Cadastro Geral Campistas'!$A:$R,15,0),""),""))))</f>
        <v/>
      </c>
      <c r="J186" s="58">
        <f>IFERROR(VLOOKUP(A186,'Cadastro Geral Campistas'!$A:$R,4,0),"")</f>
        <v/>
      </c>
    </row>
    <row r="187" ht="18" customHeight="1" s="121">
      <c r="A187" s="84" t="n">
        <v>97</v>
      </c>
      <c r="B187" s="34">
        <f>IFERROR(VLOOKUP(A187,'Cadastro Geral Campistas'!$A:$R,2,0),"")</f>
        <v/>
      </c>
      <c r="C187" s="35">
        <f>IFERROR(VLOOKUP(A187,'Cadastro Geral Campistas'!$A:$R,5,0),"")</f>
        <v/>
      </c>
      <c r="D187" s="35">
        <f>IFERROR(VLOOKUP(A187,'Cadastro Geral Campistas'!$A:$R,6,0),"")</f>
        <v/>
      </c>
      <c r="E187" s="35">
        <f>IFERROR(VLOOKUP(A187,'Cadastro Geral Campistas'!$A:$R,7,0),"")</f>
        <v/>
      </c>
      <c r="F187" s="34">
        <f>IFERROR(VLOOKUP(A187,'Cadastro Geral Campistas'!$A:$R,9,0),"")</f>
        <v/>
      </c>
      <c r="G187" s="35">
        <f>IFERROR(VLOOKUP(A187,'Cadastro Geral Campistas'!$A:$R,3,0),"")</f>
        <v/>
      </c>
      <c r="H187" s="34">
        <f>IFERROR(VLOOKUP(A187,'Cadastro Geral Campistas'!$A:$R,8,0),"")</f>
        <v/>
      </c>
      <c r="I187" s="110">
        <f>IF(AND(IFERROR(VLOOKUP(A187,'Cadastro Geral Campistas'!$A:$R,18,0),0)&gt;0,COUNTIF($A$184:$A$199,IFERROR(VLOOKUP(A187,'Cadastro Geral Campistas'!$A:$R,18,0),0))&gt;0),"⚠️ CONFLITO! Cônjuge na mesma tribo: "&amp;IFERROR(VLOOKUP(IFERROR(VLOOKUP(A187,'Cadastro Geral Campistas'!$A:$R,18,0),0),'Cadastro Geral Campistas'!$A:$R,2,""),""),TRIM(IF(AND(IFERROR(VLOOKUP(A187,'Cadastro Geral Campistas'!$A:$R,10,0),"")&lt;&gt;"",LOWER(TRIM(IFERROR(VLOOKUP(A187,'Cadastro Geral Campistas'!$A:$R,10,0),"")))&lt;&gt;"não",LOWER(TRIM(IFERROR(VLOOKUP(A187,'Cadastro Geral Campistas'!$A:$R,10,0),"")))&lt;&gt;"nao",LOWER(TRIM(IFERROR(VLOOKUP(A187,'Cadastro Geral Campistas'!$A:$R,10,0),"")))&lt;&gt;"0"),IFERROR(VLOOKUP(A187,'Cadastro Geral Campistas'!$A:$R,10,0),"")&amp;IF(AND(IFERROR(VLOOKUP(A187,'Cadastro Geral Campistas'!$A:$R,15,0),"")&lt;&gt;"",LOWER(TRIM(IFERROR(VLOOKUP(A187,'Cadastro Geral Campistas'!$A:$R,15,0),"")))&lt;&gt;"não",LOWER(TRIM(IFERROR(VLOOKUP(A187,'Cadastro Geral Campistas'!$A:$R,15,0),"")))&lt;&gt;"nao",LOWER(TRIM(IFERROR(VLOOKUP(A187,'Cadastro Geral Campistas'!$A:$R,15,0),"")))&lt;&gt;"0")," | Alergia: "&amp;IFERROR(VLOOKUP(A187,'Cadastro Geral Campistas'!$A:$R,15,0),""),""),IF(AND(IFERROR(VLOOKUP(A187,'Cadastro Geral Campistas'!$A:$R,15,0),"")&lt;&gt;"",LOWER(TRIM(IFERROR(VLOOKUP(A187,'Cadastro Geral Campistas'!$A:$R,15,0),"")))&lt;&gt;"não",LOWER(TRIM(IFERROR(VLOOKUP(A187,'Cadastro Geral Campistas'!$A:$R,15,0),"")))&lt;&gt;"nao",LOWER(TRIM(IFERROR(VLOOKUP(A187,'Cadastro Geral Campistas'!$A:$R,15,0),"")))&lt;&gt;"0"),"Alergia: "&amp;IFERROR(VLOOKUP(A187,'Cadastro Geral Campistas'!$A:$R,15,0),""),""))))</f>
        <v/>
      </c>
      <c r="J187" s="85">
        <f>IFERROR(VLOOKUP(A187,'Cadastro Geral Campistas'!$A:$R,4,0),"")</f>
        <v/>
      </c>
    </row>
    <row r="188" ht="18" customHeight="1" s="121">
      <c r="A188" s="57" t="n">
        <v>98</v>
      </c>
      <c r="B188" s="7">
        <f>IFERROR(VLOOKUP(A188,'Cadastro Geral Campistas'!$A:$R,2,0),"")</f>
        <v/>
      </c>
      <c r="C188" s="6">
        <f>IFERROR(VLOOKUP(A188,'Cadastro Geral Campistas'!$A:$R,5,0),"")</f>
        <v/>
      </c>
      <c r="D188" s="6">
        <f>IFERROR(VLOOKUP(A188,'Cadastro Geral Campistas'!$A:$R,6,0),"")</f>
        <v/>
      </c>
      <c r="E188" s="6">
        <f>IFERROR(VLOOKUP(A188,'Cadastro Geral Campistas'!$A:$R,7,0),"")</f>
        <v/>
      </c>
      <c r="F188" s="7">
        <f>IFERROR(VLOOKUP(A188,'Cadastro Geral Campistas'!$A:$R,9,0),"")</f>
        <v/>
      </c>
      <c r="G188" s="6">
        <f>IFERROR(VLOOKUP(A188,'Cadastro Geral Campistas'!$A:$R,3,0),"")</f>
        <v/>
      </c>
      <c r="H188" s="7">
        <f>IFERROR(VLOOKUP(A188,'Cadastro Geral Campistas'!$A:$R,8,0),"")</f>
        <v/>
      </c>
      <c r="I188" s="101">
        <f>IF(AND(IFERROR(VLOOKUP(A188,'Cadastro Geral Campistas'!$A:$R,18,0),0)&gt;0,COUNTIF($A$184:$A$199,IFERROR(VLOOKUP(A188,'Cadastro Geral Campistas'!$A:$R,18,0),0))&gt;0),"⚠️ CONFLITO! Cônjuge na mesma tribo: "&amp;IFERROR(VLOOKUP(IFERROR(VLOOKUP(A188,'Cadastro Geral Campistas'!$A:$R,18,0),0),'Cadastro Geral Campistas'!$A:$R,2,""),""),TRIM(IF(AND(IFERROR(VLOOKUP(A188,'Cadastro Geral Campistas'!$A:$R,10,0),"")&lt;&gt;"",LOWER(TRIM(IFERROR(VLOOKUP(A188,'Cadastro Geral Campistas'!$A:$R,10,0),"")))&lt;&gt;"não",LOWER(TRIM(IFERROR(VLOOKUP(A188,'Cadastro Geral Campistas'!$A:$R,10,0),"")))&lt;&gt;"nao",LOWER(TRIM(IFERROR(VLOOKUP(A188,'Cadastro Geral Campistas'!$A:$R,10,0),"")))&lt;&gt;"0"),IFERROR(VLOOKUP(A188,'Cadastro Geral Campistas'!$A:$R,10,0),"")&amp;IF(AND(IFERROR(VLOOKUP(A188,'Cadastro Geral Campistas'!$A:$R,15,0),"")&lt;&gt;"",LOWER(TRIM(IFERROR(VLOOKUP(A188,'Cadastro Geral Campistas'!$A:$R,15,0),"")))&lt;&gt;"não",LOWER(TRIM(IFERROR(VLOOKUP(A188,'Cadastro Geral Campistas'!$A:$R,15,0),"")))&lt;&gt;"nao",LOWER(TRIM(IFERROR(VLOOKUP(A188,'Cadastro Geral Campistas'!$A:$R,15,0),"")))&lt;&gt;"0")," | Alergia: "&amp;IFERROR(VLOOKUP(A188,'Cadastro Geral Campistas'!$A:$R,15,0),""),""),IF(AND(IFERROR(VLOOKUP(A188,'Cadastro Geral Campistas'!$A:$R,15,0),"")&lt;&gt;"",LOWER(TRIM(IFERROR(VLOOKUP(A188,'Cadastro Geral Campistas'!$A:$R,15,0),"")))&lt;&gt;"não",LOWER(TRIM(IFERROR(VLOOKUP(A188,'Cadastro Geral Campistas'!$A:$R,15,0),"")))&lt;&gt;"nao",LOWER(TRIM(IFERROR(VLOOKUP(A188,'Cadastro Geral Campistas'!$A:$R,15,0),"")))&lt;&gt;"0"),"Alergia: "&amp;IFERROR(VLOOKUP(A188,'Cadastro Geral Campistas'!$A:$R,15,0),""),""))))</f>
        <v/>
      </c>
      <c r="J188" s="58">
        <f>IFERROR(VLOOKUP(A188,'Cadastro Geral Campistas'!$A:$R,4,0),"")</f>
        <v/>
      </c>
    </row>
    <row r="189" ht="18" customHeight="1" s="121">
      <c r="A189" s="84" t="n">
        <v>127</v>
      </c>
      <c r="B189" s="34">
        <f>IFERROR(VLOOKUP(A189,'Cadastro Geral Campistas'!$A:$R,2,0),"")</f>
        <v/>
      </c>
      <c r="C189" s="35">
        <f>IFERROR(VLOOKUP(A189,'Cadastro Geral Campistas'!$A:$R,5,0),"")</f>
        <v/>
      </c>
      <c r="D189" s="35">
        <f>IFERROR(VLOOKUP(A189,'Cadastro Geral Campistas'!$A:$R,6,0),"")</f>
        <v/>
      </c>
      <c r="E189" s="35">
        <f>IFERROR(VLOOKUP(A189,'Cadastro Geral Campistas'!$A:$R,7,0),"")</f>
        <v/>
      </c>
      <c r="F189" s="34">
        <f>IFERROR(VLOOKUP(A189,'Cadastro Geral Campistas'!$A:$R,9,0),"")</f>
        <v/>
      </c>
      <c r="G189" s="35">
        <f>IFERROR(VLOOKUP(A189,'Cadastro Geral Campistas'!$A:$R,3,0),"")</f>
        <v/>
      </c>
      <c r="H189" s="34">
        <f>IFERROR(VLOOKUP(A189,'Cadastro Geral Campistas'!$A:$R,8,0),"")</f>
        <v/>
      </c>
      <c r="I189" s="110">
        <f>IF(AND(IFERROR(VLOOKUP(A189,'Cadastro Geral Campistas'!$A:$R,18,0),0)&gt;0,COUNTIF($A$184:$A$199,IFERROR(VLOOKUP(A189,'Cadastro Geral Campistas'!$A:$R,18,0),0))&gt;0),"⚠️ CONFLITO! Cônjuge na mesma tribo: "&amp;IFERROR(VLOOKUP(IFERROR(VLOOKUP(A189,'Cadastro Geral Campistas'!$A:$R,18,0),0),'Cadastro Geral Campistas'!$A:$R,2,""),""),TRIM(IF(AND(IFERROR(VLOOKUP(A189,'Cadastro Geral Campistas'!$A:$R,10,0),"")&lt;&gt;"",LOWER(TRIM(IFERROR(VLOOKUP(A189,'Cadastro Geral Campistas'!$A:$R,10,0),"")))&lt;&gt;"não",LOWER(TRIM(IFERROR(VLOOKUP(A189,'Cadastro Geral Campistas'!$A:$R,10,0),"")))&lt;&gt;"nao",LOWER(TRIM(IFERROR(VLOOKUP(A189,'Cadastro Geral Campistas'!$A:$R,10,0),"")))&lt;&gt;"0"),IFERROR(VLOOKUP(A189,'Cadastro Geral Campistas'!$A:$R,10,0),"")&amp;IF(AND(IFERROR(VLOOKUP(A189,'Cadastro Geral Campistas'!$A:$R,15,0),"")&lt;&gt;"",LOWER(TRIM(IFERROR(VLOOKUP(A189,'Cadastro Geral Campistas'!$A:$R,15,0),"")))&lt;&gt;"não",LOWER(TRIM(IFERROR(VLOOKUP(A189,'Cadastro Geral Campistas'!$A:$R,15,0),"")))&lt;&gt;"nao",LOWER(TRIM(IFERROR(VLOOKUP(A189,'Cadastro Geral Campistas'!$A:$R,15,0),"")))&lt;&gt;"0")," | Alergia: "&amp;IFERROR(VLOOKUP(A189,'Cadastro Geral Campistas'!$A:$R,15,0),""),""),IF(AND(IFERROR(VLOOKUP(A189,'Cadastro Geral Campistas'!$A:$R,15,0),"")&lt;&gt;"",LOWER(TRIM(IFERROR(VLOOKUP(A189,'Cadastro Geral Campistas'!$A:$R,15,0),"")))&lt;&gt;"não",LOWER(TRIM(IFERROR(VLOOKUP(A189,'Cadastro Geral Campistas'!$A:$R,15,0),"")))&lt;&gt;"nao",LOWER(TRIM(IFERROR(VLOOKUP(A189,'Cadastro Geral Campistas'!$A:$R,15,0),"")))&lt;&gt;"0"),"Alergia: "&amp;IFERROR(VLOOKUP(A189,'Cadastro Geral Campistas'!$A:$R,15,0),""),""))))</f>
        <v/>
      </c>
      <c r="J189" s="85">
        <f>IFERROR(VLOOKUP(A189,'Cadastro Geral Campistas'!$A:$R,4,0),"")</f>
        <v/>
      </c>
    </row>
    <row r="190" ht="18" customHeight="1" s="121">
      <c r="A190" s="57" t="n">
        <v>128</v>
      </c>
      <c r="B190" s="7">
        <f>IFERROR(VLOOKUP(A190,'Cadastro Geral Campistas'!$A:$R,2,0),"")</f>
        <v/>
      </c>
      <c r="C190" s="6">
        <f>IFERROR(VLOOKUP(A190,'Cadastro Geral Campistas'!$A:$R,5,0),"")</f>
        <v/>
      </c>
      <c r="D190" s="6">
        <f>IFERROR(VLOOKUP(A190,'Cadastro Geral Campistas'!$A:$R,6,0),"")</f>
        <v/>
      </c>
      <c r="E190" s="6">
        <f>IFERROR(VLOOKUP(A190,'Cadastro Geral Campistas'!$A:$R,7,0),"")</f>
        <v/>
      </c>
      <c r="F190" s="7">
        <f>IFERROR(VLOOKUP(A190,'Cadastro Geral Campistas'!$A:$R,9,0),"")</f>
        <v/>
      </c>
      <c r="G190" s="6">
        <f>IFERROR(VLOOKUP(A190,'Cadastro Geral Campistas'!$A:$R,3,0),"")</f>
        <v/>
      </c>
      <c r="H190" s="7">
        <f>IFERROR(VLOOKUP(A190,'Cadastro Geral Campistas'!$A:$R,8,0),"")</f>
        <v/>
      </c>
      <c r="I190" s="101">
        <f>IF(AND(IFERROR(VLOOKUP(A190,'Cadastro Geral Campistas'!$A:$R,18,0),0)&gt;0,COUNTIF($A$184:$A$199,IFERROR(VLOOKUP(A190,'Cadastro Geral Campistas'!$A:$R,18,0),0))&gt;0),"⚠️ CONFLITO! Cônjuge na mesma tribo: "&amp;IFERROR(VLOOKUP(IFERROR(VLOOKUP(A190,'Cadastro Geral Campistas'!$A:$R,18,0),0),'Cadastro Geral Campistas'!$A:$R,2,""),""),TRIM(IF(AND(IFERROR(VLOOKUP(A190,'Cadastro Geral Campistas'!$A:$R,10,0),"")&lt;&gt;"",LOWER(TRIM(IFERROR(VLOOKUP(A190,'Cadastro Geral Campistas'!$A:$R,10,0),"")))&lt;&gt;"não",LOWER(TRIM(IFERROR(VLOOKUP(A190,'Cadastro Geral Campistas'!$A:$R,10,0),"")))&lt;&gt;"nao",LOWER(TRIM(IFERROR(VLOOKUP(A190,'Cadastro Geral Campistas'!$A:$R,10,0),"")))&lt;&gt;"0"),IFERROR(VLOOKUP(A190,'Cadastro Geral Campistas'!$A:$R,10,0),"")&amp;IF(AND(IFERROR(VLOOKUP(A190,'Cadastro Geral Campistas'!$A:$R,15,0),"")&lt;&gt;"",LOWER(TRIM(IFERROR(VLOOKUP(A190,'Cadastro Geral Campistas'!$A:$R,15,0),"")))&lt;&gt;"não",LOWER(TRIM(IFERROR(VLOOKUP(A190,'Cadastro Geral Campistas'!$A:$R,15,0),"")))&lt;&gt;"nao",LOWER(TRIM(IFERROR(VLOOKUP(A190,'Cadastro Geral Campistas'!$A:$R,15,0),"")))&lt;&gt;"0")," | Alergia: "&amp;IFERROR(VLOOKUP(A190,'Cadastro Geral Campistas'!$A:$R,15,0),""),""),IF(AND(IFERROR(VLOOKUP(A190,'Cadastro Geral Campistas'!$A:$R,15,0),"")&lt;&gt;"",LOWER(TRIM(IFERROR(VLOOKUP(A190,'Cadastro Geral Campistas'!$A:$R,15,0),"")))&lt;&gt;"não",LOWER(TRIM(IFERROR(VLOOKUP(A190,'Cadastro Geral Campistas'!$A:$R,15,0),"")))&lt;&gt;"nao",LOWER(TRIM(IFERROR(VLOOKUP(A190,'Cadastro Geral Campistas'!$A:$R,15,0),"")))&lt;&gt;"0"),"Alergia: "&amp;IFERROR(VLOOKUP(A190,'Cadastro Geral Campistas'!$A:$R,15,0),""),""))))</f>
        <v/>
      </c>
      <c r="J190" s="58">
        <f>IFERROR(VLOOKUP(A190,'Cadastro Geral Campistas'!$A:$R,4,0),"")</f>
        <v/>
      </c>
    </row>
    <row r="191" ht="18" customHeight="1" s="121">
      <c r="A191" s="84" t="n">
        <v>139</v>
      </c>
      <c r="B191" s="34">
        <f>IFERROR(VLOOKUP(A191,'Cadastro Geral Campistas'!$A:$R,2,0),"")</f>
        <v/>
      </c>
      <c r="C191" s="35">
        <f>IFERROR(VLOOKUP(A191,'Cadastro Geral Campistas'!$A:$R,5,0),"")</f>
        <v/>
      </c>
      <c r="D191" s="35">
        <f>IFERROR(VLOOKUP(A191,'Cadastro Geral Campistas'!$A:$R,6,0),"")</f>
        <v/>
      </c>
      <c r="E191" s="35">
        <f>IFERROR(VLOOKUP(A191,'Cadastro Geral Campistas'!$A:$R,7,0),"")</f>
        <v/>
      </c>
      <c r="F191" s="34">
        <f>IFERROR(VLOOKUP(A191,'Cadastro Geral Campistas'!$A:$R,9,0),"")</f>
        <v/>
      </c>
      <c r="G191" s="35">
        <f>IFERROR(VLOOKUP(A191,'Cadastro Geral Campistas'!$A:$R,3,0),"")</f>
        <v/>
      </c>
      <c r="H191" s="34">
        <f>IFERROR(VLOOKUP(A191,'Cadastro Geral Campistas'!$A:$R,8,0),"")</f>
        <v/>
      </c>
      <c r="I191" s="110">
        <f>IF(AND(IFERROR(VLOOKUP(A191,'Cadastro Geral Campistas'!$A:$R,18,0),0)&gt;0,COUNTIF($A$184:$A$199,IFERROR(VLOOKUP(A191,'Cadastro Geral Campistas'!$A:$R,18,0),0))&gt;0),"⚠️ CONFLITO! Cônjuge na mesma tribo: "&amp;IFERROR(VLOOKUP(IFERROR(VLOOKUP(A191,'Cadastro Geral Campistas'!$A:$R,18,0),0),'Cadastro Geral Campistas'!$A:$R,2,""),""),TRIM(IF(AND(IFERROR(VLOOKUP(A191,'Cadastro Geral Campistas'!$A:$R,10,0),"")&lt;&gt;"",LOWER(TRIM(IFERROR(VLOOKUP(A191,'Cadastro Geral Campistas'!$A:$R,10,0),"")))&lt;&gt;"não",LOWER(TRIM(IFERROR(VLOOKUP(A191,'Cadastro Geral Campistas'!$A:$R,10,0),"")))&lt;&gt;"nao",LOWER(TRIM(IFERROR(VLOOKUP(A191,'Cadastro Geral Campistas'!$A:$R,10,0),"")))&lt;&gt;"0"),IFERROR(VLOOKUP(A191,'Cadastro Geral Campistas'!$A:$R,10,0),"")&amp;IF(AND(IFERROR(VLOOKUP(A191,'Cadastro Geral Campistas'!$A:$R,15,0),"")&lt;&gt;"",LOWER(TRIM(IFERROR(VLOOKUP(A191,'Cadastro Geral Campistas'!$A:$R,15,0),"")))&lt;&gt;"não",LOWER(TRIM(IFERROR(VLOOKUP(A191,'Cadastro Geral Campistas'!$A:$R,15,0),"")))&lt;&gt;"nao",LOWER(TRIM(IFERROR(VLOOKUP(A191,'Cadastro Geral Campistas'!$A:$R,15,0),"")))&lt;&gt;"0")," | Alergia: "&amp;IFERROR(VLOOKUP(A191,'Cadastro Geral Campistas'!$A:$R,15,0),""),""),IF(AND(IFERROR(VLOOKUP(A191,'Cadastro Geral Campistas'!$A:$R,15,0),"")&lt;&gt;"",LOWER(TRIM(IFERROR(VLOOKUP(A191,'Cadastro Geral Campistas'!$A:$R,15,0),"")))&lt;&gt;"não",LOWER(TRIM(IFERROR(VLOOKUP(A191,'Cadastro Geral Campistas'!$A:$R,15,0),"")))&lt;&gt;"nao",LOWER(TRIM(IFERROR(VLOOKUP(A191,'Cadastro Geral Campistas'!$A:$R,15,0),"")))&lt;&gt;"0"),"Alergia: "&amp;IFERROR(VLOOKUP(A191,'Cadastro Geral Campistas'!$A:$R,15,0),""),""))))</f>
        <v/>
      </c>
      <c r="J191" s="85">
        <f>IFERROR(VLOOKUP(A191,'Cadastro Geral Campistas'!$A:$R,4,0),"")</f>
        <v/>
      </c>
    </row>
    <row r="192" ht="18" customHeight="1" s="121">
      <c r="A192" s="57" t="n">
        <v>28</v>
      </c>
      <c r="B192" s="7">
        <f>IFERROR(VLOOKUP(A192,'Cadastro Geral Campistas'!$A:$R,2,0),"")</f>
        <v/>
      </c>
      <c r="C192" s="6">
        <f>IFERROR(VLOOKUP(A192,'Cadastro Geral Campistas'!$A:$R,5,0),"")</f>
        <v/>
      </c>
      <c r="D192" s="6">
        <f>IFERROR(VLOOKUP(A192,'Cadastro Geral Campistas'!$A:$R,6,0),"")</f>
        <v/>
      </c>
      <c r="E192" s="6">
        <f>IFERROR(VLOOKUP(A192,'Cadastro Geral Campistas'!$A:$R,7,0),"")</f>
        <v/>
      </c>
      <c r="F192" s="7">
        <f>IFERROR(VLOOKUP(A192,'Cadastro Geral Campistas'!$A:$R,9,0),"")</f>
        <v/>
      </c>
      <c r="G192" s="6">
        <f>IFERROR(VLOOKUP(A192,'Cadastro Geral Campistas'!$A:$R,3,0),"")</f>
        <v/>
      </c>
      <c r="H192" s="7">
        <f>IFERROR(VLOOKUP(A192,'Cadastro Geral Campistas'!$A:$R,8,0),"")</f>
        <v/>
      </c>
      <c r="I192" s="101">
        <f>IF(AND(IFERROR(VLOOKUP(A192,'Cadastro Geral Campistas'!$A:$R,18,0),0)&gt;0,COUNTIF($A$184:$A$199,IFERROR(VLOOKUP(A192,'Cadastro Geral Campistas'!$A:$R,18,0),0))&gt;0),"⚠️ CONFLITO! Cônjuge na mesma tribo: "&amp;IFERROR(VLOOKUP(IFERROR(VLOOKUP(A192,'Cadastro Geral Campistas'!$A:$R,18,0),0),'Cadastro Geral Campistas'!$A:$R,2,""),""),TRIM(IF(AND(IFERROR(VLOOKUP(A192,'Cadastro Geral Campistas'!$A:$R,10,0),"")&lt;&gt;"",LOWER(TRIM(IFERROR(VLOOKUP(A192,'Cadastro Geral Campistas'!$A:$R,10,0),"")))&lt;&gt;"não",LOWER(TRIM(IFERROR(VLOOKUP(A192,'Cadastro Geral Campistas'!$A:$R,10,0),"")))&lt;&gt;"nao",LOWER(TRIM(IFERROR(VLOOKUP(A192,'Cadastro Geral Campistas'!$A:$R,10,0),"")))&lt;&gt;"0"),IFERROR(VLOOKUP(A192,'Cadastro Geral Campistas'!$A:$R,10,0),"")&amp;IF(AND(IFERROR(VLOOKUP(A192,'Cadastro Geral Campistas'!$A:$R,15,0),"")&lt;&gt;"",LOWER(TRIM(IFERROR(VLOOKUP(A192,'Cadastro Geral Campistas'!$A:$R,15,0),"")))&lt;&gt;"não",LOWER(TRIM(IFERROR(VLOOKUP(A192,'Cadastro Geral Campistas'!$A:$R,15,0),"")))&lt;&gt;"nao",LOWER(TRIM(IFERROR(VLOOKUP(A192,'Cadastro Geral Campistas'!$A:$R,15,0),"")))&lt;&gt;"0")," | Alergia: "&amp;IFERROR(VLOOKUP(A192,'Cadastro Geral Campistas'!$A:$R,15,0),""),""),IF(AND(IFERROR(VLOOKUP(A192,'Cadastro Geral Campistas'!$A:$R,15,0),"")&lt;&gt;"",LOWER(TRIM(IFERROR(VLOOKUP(A192,'Cadastro Geral Campistas'!$A:$R,15,0),"")))&lt;&gt;"não",LOWER(TRIM(IFERROR(VLOOKUP(A192,'Cadastro Geral Campistas'!$A:$R,15,0),"")))&lt;&gt;"nao",LOWER(TRIM(IFERROR(VLOOKUP(A192,'Cadastro Geral Campistas'!$A:$R,15,0),"")))&lt;&gt;"0"),"Alergia: "&amp;IFERROR(VLOOKUP(A192,'Cadastro Geral Campistas'!$A:$R,15,0),""),""))))</f>
        <v/>
      </c>
      <c r="J192" s="58">
        <f>IFERROR(VLOOKUP(A192,'Cadastro Geral Campistas'!$A:$R,4,0),"")</f>
        <v/>
      </c>
    </row>
    <row r="193" ht="18" customHeight="1" s="121">
      <c r="A193" s="84" t="n">
        <v>31</v>
      </c>
      <c r="B193" s="34">
        <f>IFERROR(VLOOKUP(A193,'Cadastro Geral Campistas'!$A:$R,2,0),"")</f>
        <v/>
      </c>
      <c r="C193" s="35">
        <f>IFERROR(VLOOKUP(A193,'Cadastro Geral Campistas'!$A:$R,5,0),"")</f>
        <v/>
      </c>
      <c r="D193" s="35">
        <f>IFERROR(VLOOKUP(A193,'Cadastro Geral Campistas'!$A:$R,6,0),"")</f>
        <v/>
      </c>
      <c r="E193" s="35">
        <f>IFERROR(VLOOKUP(A193,'Cadastro Geral Campistas'!$A:$R,7,0),"")</f>
        <v/>
      </c>
      <c r="F193" s="34">
        <f>IFERROR(VLOOKUP(A193,'Cadastro Geral Campistas'!$A:$R,9,0),"")</f>
        <v/>
      </c>
      <c r="G193" s="35">
        <f>IFERROR(VLOOKUP(A193,'Cadastro Geral Campistas'!$A:$R,3,0),"")</f>
        <v/>
      </c>
      <c r="H193" s="34">
        <f>IFERROR(VLOOKUP(A193,'Cadastro Geral Campistas'!$A:$R,8,0),"")</f>
        <v/>
      </c>
      <c r="I193" s="110">
        <f>IF(AND(IFERROR(VLOOKUP(A193,'Cadastro Geral Campistas'!$A:$R,18,0),0)&gt;0,COUNTIF($A$184:$A$199,IFERROR(VLOOKUP(A193,'Cadastro Geral Campistas'!$A:$R,18,0),0))&gt;0),"⚠️ CONFLITO! Cônjuge na mesma tribo: "&amp;IFERROR(VLOOKUP(IFERROR(VLOOKUP(A193,'Cadastro Geral Campistas'!$A:$R,18,0),0),'Cadastro Geral Campistas'!$A:$R,2,""),""),TRIM(IF(AND(IFERROR(VLOOKUP(A193,'Cadastro Geral Campistas'!$A:$R,10,0),"")&lt;&gt;"",LOWER(TRIM(IFERROR(VLOOKUP(A193,'Cadastro Geral Campistas'!$A:$R,10,0),"")))&lt;&gt;"não",LOWER(TRIM(IFERROR(VLOOKUP(A193,'Cadastro Geral Campistas'!$A:$R,10,0),"")))&lt;&gt;"nao",LOWER(TRIM(IFERROR(VLOOKUP(A193,'Cadastro Geral Campistas'!$A:$R,10,0),"")))&lt;&gt;"0"),IFERROR(VLOOKUP(A193,'Cadastro Geral Campistas'!$A:$R,10,0),"")&amp;IF(AND(IFERROR(VLOOKUP(A193,'Cadastro Geral Campistas'!$A:$R,15,0),"")&lt;&gt;"",LOWER(TRIM(IFERROR(VLOOKUP(A193,'Cadastro Geral Campistas'!$A:$R,15,0),"")))&lt;&gt;"não",LOWER(TRIM(IFERROR(VLOOKUP(A193,'Cadastro Geral Campistas'!$A:$R,15,0),"")))&lt;&gt;"nao",LOWER(TRIM(IFERROR(VLOOKUP(A193,'Cadastro Geral Campistas'!$A:$R,15,0),"")))&lt;&gt;"0")," | Alergia: "&amp;IFERROR(VLOOKUP(A193,'Cadastro Geral Campistas'!$A:$R,15,0),""),""),IF(AND(IFERROR(VLOOKUP(A193,'Cadastro Geral Campistas'!$A:$R,15,0),"")&lt;&gt;"",LOWER(TRIM(IFERROR(VLOOKUP(A193,'Cadastro Geral Campistas'!$A:$R,15,0),"")))&lt;&gt;"não",LOWER(TRIM(IFERROR(VLOOKUP(A193,'Cadastro Geral Campistas'!$A:$R,15,0),"")))&lt;&gt;"nao",LOWER(TRIM(IFERROR(VLOOKUP(A193,'Cadastro Geral Campistas'!$A:$R,15,0),"")))&lt;&gt;"0"),"Alergia: "&amp;IFERROR(VLOOKUP(A193,'Cadastro Geral Campistas'!$A:$R,15,0),""),""))))</f>
        <v/>
      </c>
      <c r="J193" s="85">
        <f>IFERROR(VLOOKUP(A193,'Cadastro Geral Campistas'!$A:$R,4,0),"")</f>
        <v/>
      </c>
    </row>
    <row r="194" ht="18" customHeight="1" s="121">
      <c r="A194" s="57" t="n">
        <v>34</v>
      </c>
      <c r="B194" s="7">
        <f>IFERROR(VLOOKUP(A194,'Cadastro Geral Campistas'!$A:$R,2,0),"")</f>
        <v/>
      </c>
      <c r="C194" s="6">
        <f>IFERROR(VLOOKUP(A194,'Cadastro Geral Campistas'!$A:$R,5,0),"")</f>
        <v/>
      </c>
      <c r="D194" s="6">
        <f>IFERROR(VLOOKUP(A194,'Cadastro Geral Campistas'!$A:$R,6,0),"")</f>
        <v/>
      </c>
      <c r="E194" s="6">
        <f>IFERROR(VLOOKUP(A194,'Cadastro Geral Campistas'!$A:$R,7,0),"")</f>
        <v/>
      </c>
      <c r="F194" s="7">
        <f>IFERROR(VLOOKUP(A194,'Cadastro Geral Campistas'!$A:$R,9,0),"")</f>
        <v/>
      </c>
      <c r="G194" s="6">
        <f>IFERROR(VLOOKUP(A194,'Cadastro Geral Campistas'!$A:$R,3,0),"")</f>
        <v/>
      </c>
      <c r="H194" s="7">
        <f>IFERROR(VLOOKUP(A194,'Cadastro Geral Campistas'!$A:$R,8,0),"")</f>
        <v/>
      </c>
      <c r="I194" s="101">
        <f>IF(AND(IFERROR(VLOOKUP(A194,'Cadastro Geral Campistas'!$A:$R,18,0),0)&gt;0,COUNTIF($A$184:$A$199,IFERROR(VLOOKUP(A194,'Cadastro Geral Campistas'!$A:$R,18,0),0))&gt;0),"⚠️ CONFLITO! Cônjuge na mesma tribo: "&amp;IFERROR(VLOOKUP(IFERROR(VLOOKUP(A194,'Cadastro Geral Campistas'!$A:$R,18,0),0),'Cadastro Geral Campistas'!$A:$R,2,""),""),TRIM(IF(AND(IFERROR(VLOOKUP(A194,'Cadastro Geral Campistas'!$A:$R,10,0),"")&lt;&gt;"",LOWER(TRIM(IFERROR(VLOOKUP(A194,'Cadastro Geral Campistas'!$A:$R,10,0),"")))&lt;&gt;"não",LOWER(TRIM(IFERROR(VLOOKUP(A194,'Cadastro Geral Campistas'!$A:$R,10,0),"")))&lt;&gt;"nao",LOWER(TRIM(IFERROR(VLOOKUP(A194,'Cadastro Geral Campistas'!$A:$R,10,0),"")))&lt;&gt;"0"),IFERROR(VLOOKUP(A194,'Cadastro Geral Campistas'!$A:$R,10,0),"")&amp;IF(AND(IFERROR(VLOOKUP(A194,'Cadastro Geral Campistas'!$A:$R,15,0),"")&lt;&gt;"",LOWER(TRIM(IFERROR(VLOOKUP(A194,'Cadastro Geral Campistas'!$A:$R,15,0),"")))&lt;&gt;"não",LOWER(TRIM(IFERROR(VLOOKUP(A194,'Cadastro Geral Campistas'!$A:$R,15,0),"")))&lt;&gt;"nao",LOWER(TRIM(IFERROR(VLOOKUP(A194,'Cadastro Geral Campistas'!$A:$R,15,0),"")))&lt;&gt;"0")," | Alergia: "&amp;IFERROR(VLOOKUP(A194,'Cadastro Geral Campistas'!$A:$R,15,0),""),""),IF(AND(IFERROR(VLOOKUP(A194,'Cadastro Geral Campistas'!$A:$R,15,0),"")&lt;&gt;"",LOWER(TRIM(IFERROR(VLOOKUP(A194,'Cadastro Geral Campistas'!$A:$R,15,0),"")))&lt;&gt;"não",LOWER(TRIM(IFERROR(VLOOKUP(A194,'Cadastro Geral Campistas'!$A:$R,15,0),"")))&lt;&gt;"nao",LOWER(TRIM(IFERROR(VLOOKUP(A194,'Cadastro Geral Campistas'!$A:$R,15,0),"")))&lt;&gt;"0"),"Alergia: "&amp;IFERROR(VLOOKUP(A194,'Cadastro Geral Campistas'!$A:$R,15,0),""),""))))</f>
        <v/>
      </c>
      <c r="J194" s="58">
        <f>IFERROR(VLOOKUP(A194,'Cadastro Geral Campistas'!$A:$R,4,0),"")</f>
        <v/>
      </c>
    </row>
    <row r="195" ht="18" customHeight="1" s="121">
      <c r="A195" s="84" t="n">
        <v>45</v>
      </c>
      <c r="B195" s="34">
        <f>IFERROR(VLOOKUP(A195,'Cadastro Geral Campistas'!$A:$R,2,0),"")</f>
        <v/>
      </c>
      <c r="C195" s="35">
        <f>IFERROR(VLOOKUP(A195,'Cadastro Geral Campistas'!$A:$R,5,0),"")</f>
        <v/>
      </c>
      <c r="D195" s="35">
        <f>IFERROR(VLOOKUP(A195,'Cadastro Geral Campistas'!$A:$R,6,0),"")</f>
        <v/>
      </c>
      <c r="E195" s="35">
        <f>IFERROR(VLOOKUP(A195,'Cadastro Geral Campistas'!$A:$R,7,0),"")</f>
        <v/>
      </c>
      <c r="F195" s="34">
        <f>IFERROR(VLOOKUP(A195,'Cadastro Geral Campistas'!$A:$R,9,0),"")</f>
        <v/>
      </c>
      <c r="G195" s="35">
        <f>IFERROR(VLOOKUP(A195,'Cadastro Geral Campistas'!$A:$R,3,0),"")</f>
        <v/>
      </c>
      <c r="H195" s="34">
        <f>IFERROR(VLOOKUP(A195,'Cadastro Geral Campistas'!$A:$R,8,0),"")</f>
        <v/>
      </c>
      <c r="I195" s="110">
        <f>IF(AND(IFERROR(VLOOKUP(A195,'Cadastro Geral Campistas'!$A:$R,18,0),0)&gt;0,COUNTIF($A$184:$A$199,IFERROR(VLOOKUP(A195,'Cadastro Geral Campistas'!$A:$R,18,0),0))&gt;0),"⚠️ CONFLITO! Cônjuge na mesma tribo: "&amp;IFERROR(VLOOKUP(IFERROR(VLOOKUP(A195,'Cadastro Geral Campistas'!$A:$R,18,0),0),'Cadastro Geral Campistas'!$A:$R,2,""),""),TRIM(IF(AND(IFERROR(VLOOKUP(A195,'Cadastro Geral Campistas'!$A:$R,10,0),"")&lt;&gt;"",LOWER(TRIM(IFERROR(VLOOKUP(A195,'Cadastro Geral Campistas'!$A:$R,10,0),"")))&lt;&gt;"não",LOWER(TRIM(IFERROR(VLOOKUP(A195,'Cadastro Geral Campistas'!$A:$R,10,0),"")))&lt;&gt;"nao",LOWER(TRIM(IFERROR(VLOOKUP(A195,'Cadastro Geral Campistas'!$A:$R,10,0),"")))&lt;&gt;"0"),IFERROR(VLOOKUP(A195,'Cadastro Geral Campistas'!$A:$R,10,0),"")&amp;IF(AND(IFERROR(VLOOKUP(A195,'Cadastro Geral Campistas'!$A:$R,15,0),"")&lt;&gt;"",LOWER(TRIM(IFERROR(VLOOKUP(A195,'Cadastro Geral Campistas'!$A:$R,15,0),"")))&lt;&gt;"não",LOWER(TRIM(IFERROR(VLOOKUP(A195,'Cadastro Geral Campistas'!$A:$R,15,0),"")))&lt;&gt;"nao",LOWER(TRIM(IFERROR(VLOOKUP(A195,'Cadastro Geral Campistas'!$A:$R,15,0),"")))&lt;&gt;"0")," | Alergia: "&amp;IFERROR(VLOOKUP(A195,'Cadastro Geral Campistas'!$A:$R,15,0),""),""),IF(AND(IFERROR(VLOOKUP(A195,'Cadastro Geral Campistas'!$A:$R,15,0),"")&lt;&gt;"",LOWER(TRIM(IFERROR(VLOOKUP(A195,'Cadastro Geral Campistas'!$A:$R,15,0),"")))&lt;&gt;"não",LOWER(TRIM(IFERROR(VLOOKUP(A195,'Cadastro Geral Campistas'!$A:$R,15,0),"")))&lt;&gt;"nao",LOWER(TRIM(IFERROR(VLOOKUP(A195,'Cadastro Geral Campistas'!$A:$R,15,0),"")))&lt;&gt;"0"),"Alergia: "&amp;IFERROR(VLOOKUP(A195,'Cadastro Geral Campistas'!$A:$R,15,0),""),""))))</f>
        <v/>
      </c>
      <c r="J195" s="85">
        <f>IFERROR(VLOOKUP(A195,'Cadastro Geral Campistas'!$A:$R,4,0),"")</f>
        <v/>
      </c>
    </row>
    <row r="196" ht="18" customHeight="1" s="121">
      <c r="A196" s="57" t="n">
        <v>54</v>
      </c>
      <c r="B196" s="7">
        <f>IFERROR(VLOOKUP(A196,'Cadastro Geral Campistas'!$A:$R,2,0),"")</f>
        <v/>
      </c>
      <c r="C196" s="6">
        <f>IFERROR(VLOOKUP(A196,'Cadastro Geral Campistas'!$A:$R,5,0),"")</f>
        <v/>
      </c>
      <c r="D196" s="6">
        <f>IFERROR(VLOOKUP(A196,'Cadastro Geral Campistas'!$A:$R,6,0),"")</f>
        <v/>
      </c>
      <c r="E196" s="6">
        <f>IFERROR(VLOOKUP(A196,'Cadastro Geral Campistas'!$A:$R,7,0),"")</f>
        <v/>
      </c>
      <c r="F196" s="7">
        <f>IFERROR(VLOOKUP(A196,'Cadastro Geral Campistas'!$A:$R,9,0),"")</f>
        <v/>
      </c>
      <c r="G196" s="6">
        <f>IFERROR(VLOOKUP(A196,'Cadastro Geral Campistas'!$A:$R,3,0),"")</f>
        <v/>
      </c>
      <c r="H196" s="7">
        <f>IFERROR(VLOOKUP(A196,'Cadastro Geral Campistas'!$A:$R,8,0),"")</f>
        <v/>
      </c>
      <c r="I196" s="101">
        <f>IF(AND(IFERROR(VLOOKUP(A196,'Cadastro Geral Campistas'!$A:$R,18,0),0)&gt;0,COUNTIF($A$184:$A$199,IFERROR(VLOOKUP(A196,'Cadastro Geral Campistas'!$A:$R,18,0),0))&gt;0),"⚠️ CONFLITO! Cônjuge na mesma tribo: "&amp;IFERROR(VLOOKUP(IFERROR(VLOOKUP(A196,'Cadastro Geral Campistas'!$A:$R,18,0),0),'Cadastro Geral Campistas'!$A:$R,2,""),""),TRIM(IF(AND(IFERROR(VLOOKUP(A196,'Cadastro Geral Campistas'!$A:$R,10,0),"")&lt;&gt;"",LOWER(TRIM(IFERROR(VLOOKUP(A196,'Cadastro Geral Campistas'!$A:$R,10,0),"")))&lt;&gt;"não",LOWER(TRIM(IFERROR(VLOOKUP(A196,'Cadastro Geral Campistas'!$A:$R,10,0),"")))&lt;&gt;"nao",LOWER(TRIM(IFERROR(VLOOKUP(A196,'Cadastro Geral Campistas'!$A:$R,10,0),"")))&lt;&gt;"0"),IFERROR(VLOOKUP(A196,'Cadastro Geral Campistas'!$A:$R,10,0),"")&amp;IF(AND(IFERROR(VLOOKUP(A196,'Cadastro Geral Campistas'!$A:$R,15,0),"")&lt;&gt;"",LOWER(TRIM(IFERROR(VLOOKUP(A196,'Cadastro Geral Campistas'!$A:$R,15,0),"")))&lt;&gt;"não",LOWER(TRIM(IFERROR(VLOOKUP(A196,'Cadastro Geral Campistas'!$A:$R,15,0),"")))&lt;&gt;"nao",LOWER(TRIM(IFERROR(VLOOKUP(A196,'Cadastro Geral Campistas'!$A:$R,15,0),"")))&lt;&gt;"0")," | Alergia: "&amp;IFERROR(VLOOKUP(A196,'Cadastro Geral Campistas'!$A:$R,15,0),""),""),IF(AND(IFERROR(VLOOKUP(A196,'Cadastro Geral Campistas'!$A:$R,15,0),"")&lt;&gt;"",LOWER(TRIM(IFERROR(VLOOKUP(A196,'Cadastro Geral Campistas'!$A:$R,15,0),"")))&lt;&gt;"não",LOWER(TRIM(IFERROR(VLOOKUP(A196,'Cadastro Geral Campistas'!$A:$R,15,0),"")))&lt;&gt;"nao",LOWER(TRIM(IFERROR(VLOOKUP(A196,'Cadastro Geral Campistas'!$A:$R,15,0),"")))&lt;&gt;"0"),"Alergia: "&amp;IFERROR(VLOOKUP(A196,'Cadastro Geral Campistas'!$A:$R,15,0),""),""))))</f>
        <v/>
      </c>
      <c r="J196" s="58">
        <f>IFERROR(VLOOKUP(A196,'Cadastro Geral Campistas'!$A:$R,4,0),"")</f>
        <v/>
      </c>
    </row>
    <row r="197" ht="18" customHeight="1" s="121">
      <c r="A197" s="84" t="n">
        <v>56</v>
      </c>
      <c r="B197" s="34">
        <f>IFERROR(VLOOKUP(A197,'Cadastro Geral Campistas'!$A:$R,2,0),"")</f>
        <v/>
      </c>
      <c r="C197" s="35">
        <f>IFERROR(VLOOKUP(A197,'Cadastro Geral Campistas'!$A:$R,5,0),"")</f>
        <v/>
      </c>
      <c r="D197" s="35">
        <f>IFERROR(VLOOKUP(A197,'Cadastro Geral Campistas'!$A:$R,6,0),"")</f>
        <v/>
      </c>
      <c r="E197" s="35">
        <f>IFERROR(VLOOKUP(A197,'Cadastro Geral Campistas'!$A:$R,7,0),"")</f>
        <v/>
      </c>
      <c r="F197" s="34">
        <f>IFERROR(VLOOKUP(A197,'Cadastro Geral Campistas'!$A:$R,9,0),"")</f>
        <v/>
      </c>
      <c r="G197" s="35">
        <f>IFERROR(VLOOKUP(A197,'Cadastro Geral Campistas'!$A:$R,3,0),"")</f>
        <v/>
      </c>
      <c r="H197" s="34">
        <f>IFERROR(VLOOKUP(A197,'Cadastro Geral Campistas'!$A:$R,8,0),"")</f>
        <v/>
      </c>
      <c r="I197" s="110">
        <f>IF(AND(IFERROR(VLOOKUP(A197,'Cadastro Geral Campistas'!$A:$R,18,0),0)&gt;0,COUNTIF($A$184:$A$199,IFERROR(VLOOKUP(A197,'Cadastro Geral Campistas'!$A:$R,18,0),0))&gt;0),"⚠️ CONFLITO! Cônjuge na mesma tribo: "&amp;IFERROR(VLOOKUP(IFERROR(VLOOKUP(A197,'Cadastro Geral Campistas'!$A:$R,18,0),0),'Cadastro Geral Campistas'!$A:$R,2,""),""),TRIM(IF(AND(IFERROR(VLOOKUP(A197,'Cadastro Geral Campistas'!$A:$R,10,0),"")&lt;&gt;"",LOWER(TRIM(IFERROR(VLOOKUP(A197,'Cadastro Geral Campistas'!$A:$R,10,0),"")))&lt;&gt;"não",LOWER(TRIM(IFERROR(VLOOKUP(A197,'Cadastro Geral Campistas'!$A:$R,10,0),"")))&lt;&gt;"nao",LOWER(TRIM(IFERROR(VLOOKUP(A197,'Cadastro Geral Campistas'!$A:$R,10,0),"")))&lt;&gt;"0"),IFERROR(VLOOKUP(A197,'Cadastro Geral Campistas'!$A:$R,10,0),"")&amp;IF(AND(IFERROR(VLOOKUP(A197,'Cadastro Geral Campistas'!$A:$R,15,0),"")&lt;&gt;"",LOWER(TRIM(IFERROR(VLOOKUP(A197,'Cadastro Geral Campistas'!$A:$R,15,0),"")))&lt;&gt;"não",LOWER(TRIM(IFERROR(VLOOKUP(A197,'Cadastro Geral Campistas'!$A:$R,15,0),"")))&lt;&gt;"nao",LOWER(TRIM(IFERROR(VLOOKUP(A197,'Cadastro Geral Campistas'!$A:$R,15,0),"")))&lt;&gt;"0")," | Alergia: "&amp;IFERROR(VLOOKUP(A197,'Cadastro Geral Campistas'!$A:$R,15,0),""),""),IF(AND(IFERROR(VLOOKUP(A197,'Cadastro Geral Campistas'!$A:$R,15,0),"")&lt;&gt;"",LOWER(TRIM(IFERROR(VLOOKUP(A197,'Cadastro Geral Campistas'!$A:$R,15,0),"")))&lt;&gt;"não",LOWER(TRIM(IFERROR(VLOOKUP(A197,'Cadastro Geral Campistas'!$A:$R,15,0),"")))&lt;&gt;"nao",LOWER(TRIM(IFERROR(VLOOKUP(A197,'Cadastro Geral Campistas'!$A:$R,15,0),"")))&lt;&gt;"0"),"Alergia: "&amp;IFERROR(VLOOKUP(A197,'Cadastro Geral Campistas'!$A:$R,15,0),""),""))))</f>
        <v/>
      </c>
      <c r="J197" s="85">
        <f>IFERROR(VLOOKUP(A197,'Cadastro Geral Campistas'!$A:$R,4,0),"")</f>
        <v/>
      </c>
    </row>
    <row r="198" ht="18" customHeight="1" s="121">
      <c r="A198" s="57" t="n">
        <v>83</v>
      </c>
      <c r="B198" s="7">
        <f>IFERROR(VLOOKUP(A198,'Cadastro Geral Campistas'!$A:$R,2,0),"")</f>
        <v/>
      </c>
      <c r="C198" s="6">
        <f>IFERROR(VLOOKUP(A198,'Cadastro Geral Campistas'!$A:$R,5,0),"")</f>
        <v/>
      </c>
      <c r="D198" s="6">
        <f>IFERROR(VLOOKUP(A198,'Cadastro Geral Campistas'!$A:$R,6,0),"")</f>
        <v/>
      </c>
      <c r="E198" s="6">
        <f>IFERROR(VLOOKUP(A198,'Cadastro Geral Campistas'!$A:$R,7,0),"")</f>
        <v/>
      </c>
      <c r="F198" s="7">
        <f>IFERROR(VLOOKUP(A198,'Cadastro Geral Campistas'!$A:$R,9,0),"")</f>
        <v/>
      </c>
      <c r="G198" s="6">
        <f>IFERROR(VLOOKUP(A198,'Cadastro Geral Campistas'!$A:$R,3,0),"")</f>
        <v/>
      </c>
      <c r="H198" s="7">
        <f>IFERROR(VLOOKUP(A198,'Cadastro Geral Campistas'!$A:$R,8,0),"")</f>
        <v/>
      </c>
      <c r="I198" s="101">
        <f>IF(AND(IFERROR(VLOOKUP(A198,'Cadastro Geral Campistas'!$A:$R,18,0),0)&gt;0,COUNTIF($A$184:$A$199,IFERROR(VLOOKUP(A198,'Cadastro Geral Campistas'!$A:$R,18,0),0))&gt;0),"⚠️ CONFLITO! Cônjuge na mesma tribo: "&amp;IFERROR(VLOOKUP(IFERROR(VLOOKUP(A198,'Cadastro Geral Campistas'!$A:$R,18,0),0),'Cadastro Geral Campistas'!$A:$R,2,""),""),TRIM(IF(AND(IFERROR(VLOOKUP(A198,'Cadastro Geral Campistas'!$A:$R,10,0),"")&lt;&gt;"",LOWER(TRIM(IFERROR(VLOOKUP(A198,'Cadastro Geral Campistas'!$A:$R,10,0),"")))&lt;&gt;"não",LOWER(TRIM(IFERROR(VLOOKUP(A198,'Cadastro Geral Campistas'!$A:$R,10,0),"")))&lt;&gt;"nao",LOWER(TRIM(IFERROR(VLOOKUP(A198,'Cadastro Geral Campistas'!$A:$R,10,0),"")))&lt;&gt;"0"),IFERROR(VLOOKUP(A198,'Cadastro Geral Campistas'!$A:$R,10,0),"")&amp;IF(AND(IFERROR(VLOOKUP(A198,'Cadastro Geral Campistas'!$A:$R,15,0),"")&lt;&gt;"",LOWER(TRIM(IFERROR(VLOOKUP(A198,'Cadastro Geral Campistas'!$A:$R,15,0),"")))&lt;&gt;"não",LOWER(TRIM(IFERROR(VLOOKUP(A198,'Cadastro Geral Campistas'!$A:$R,15,0),"")))&lt;&gt;"nao",LOWER(TRIM(IFERROR(VLOOKUP(A198,'Cadastro Geral Campistas'!$A:$R,15,0),"")))&lt;&gt;"0")," | Alergia: "&amp;IFERROR(VLOOKUP(A198,'Cadastro Geral Campistas'!$A:$R,15,0),""),""),IF(AND(IFERROR(VLOOKUP(A198,'Cadastro Geral Campistas'!$A:$R,15,0),"")&lt;&gt;"",LOWER(TRIM(IFERROR(VLOOKUP(A198,'Cadastro Geral Campistas'!$A:$R,15,0),"")))&lt;&gt;"não",LOWER(TRIM(IFERROR(VLOOKUP(A198,'Cadastro Geral Campistas'!$A:$R,15,0),"")))&lt;&gt;"nao",LOWER(TRIM(IFERROR(VLOOKUP(A198,'Cadastro Geral Campistas'!$A:$R,15,0),"")))&lt;&gt;"0"),"Alergia: "&amp;IFERROR(VLOOKUP(A198,'Cadastro Geral Campistas'!$A:$R,15,0),""),""))))</f>
        <v/>
      </c>
      <c r="J198" s="58">
        <f>IFERROR(VLOOKUP(A198,'Cadastro Geral Campistas'!$A:$R,4,0),"")</f>
        <v/>
      </c>
    </row>
    <row r="199" ht="18" customHeight="1" s="121">
      <c r="A199" s="84" t="n">
        <v>90</v>
      </c>
      <c r="B199" s="34">
        <f>IFERROR(VLOOKUP(A199,'Cadastro Geral Campistas'!$A:$R,2,0),"")</f>
        <v/>
      </c>
      <c r="C199" s="35">
        <f>IFERROR(VLOOKUP(A199,'Cadastro Geral Campistas'!$A:$R,5,0),"")</f>
        <v/>
      </c>
      <c r="D199" s="35">
        <f>IFERROR(VLOOKUP(A199,'Cadastro Geral Campistas'!$A:$R,6,0),"")</f>
        <v/>
      </c>
      <c r="E199" s="35">
        <f>IFERROR(VLOOKUP(A199,'Cadastro Geral Campistas'!$A:$R,7,0),"")</f>
        <v/>
      </c>
      <c r="F199" s="34">
        <f>IFERROR(VLOOKUP(A199,'Cadastro Geral Campistas'!$A:$R,9,0),"")</f>
        <v/>
      </c>
      <c r="G199" s="35">
        <f>IFERROR(VLOOKUP(A199,'Cadastro Geral Campistas'!$A:$R,3,0),"")</f>
        <v/>
      </c>
      <c r="H199" s="34">
        <f>IFERROR(VLOOKUP(A199,'Cadastro Geral Campistas'!$A:$R,8,0),"")</f>
        <v/>
      </c>
      <c r="I199" s="110">
        <f>IF(AND(IFERROR(VLOOKUP(A199,'Cadastro Geral Campistas'!$A:$R,18,0),0)&gt;0,COUNTIF($A$184:$A$199,IFERROR(VLOOKUP(A199,'Cadastro Geral Campistas'!$A:$R,18,0),0))&gt;0),"⚠️ CONFLITO! Cônjuge na mesma tribo: "&amp;IFERROR(VLOOKUP(IFERROR(VLOOKUP(A199,'Cadastro Geral Campistas'!$A:$R,18,0),0),'Cadastro Geral Campistas'!$A:$R,2,""),""),TRIM(IF(AND(IFERROR(VLOOKUP(A199,'Cadastro Geral Campistas'!$A:$R,10,0),"")&lt;&gt;"",LOWER(TRIM(IFERROR(VLOOKUP(A199,'Cadastro Geral Campistas'!$A:$R,10,0),"")))&lt;&gt;"não",LOWER(TRIM(IFERROR(VLOOKUP(A199,'Cadastro Geral Campistas'!$A:$R,10,0),"")))&lt;&gt;"nao",LOWER(TRIM(IFERROR(VLOOKUP(A199,'Cadastro Geral Campistas'!$A:$R,10,0),"")))&lt;&gt;"0"),IFERROR(VLOOKUP(A199,'Cadastro Geral Campistas'!$A:$R,10,0),"")&amp;IF(AND(IFERROR(VLOOKUP(A199,'Cadastro Geral Campistas'!$A:$R,15,0),"")&lt;&gt;"",LOWER(TRIM(IFERROR(VLOOKUP(A199,'Cadastro Geral Campistas'!$A:$R,15,0),"")))&lt;&gt;"não",LOWER(TRIM(IFERROR(VLOOKUP(A199,'Cadastro Geral Campistas'!$A:$R,15,0),"")))&lt;&gt;"nao",LOWER(TRIM(IFERROR(VLOOKUP(A199,'Cadastro Geral Campistas'!$A:$R,15,0),"")))&lt;&gt;"0")," | Alergia: "&amp;IFERROR(VLOOKUP(A199,'Cadastro Geral Campistas'!$A:$R,15,0),""),""),IF(AND(IFERROR(VLOOKUP(A199,'Cadastro Geral Campistas'!$A:$R,15,0),"")&lt;&gt;"",LOWER(TRIM(IFERROR(VLOOKUP(A199,'Cadastro Geral Campistas'!$A:$R,15,0),"")))&lt;&gt;"não",LOWER(TRIM(IFERROR(VLOOKUP(A199,'Cadastro Geral Campistas'!$A:$R,15,0),"")))&lt;&gt;"nao",LOWER(TRIM(IFERROR(VLOOKUP(A199,'Cadastro Geral Campistas'!$A:$R,15,0),"")))&lt;&gt;"0"),"Alergia: "&amp;IFERROR(VLOOKUP(A199,'Cadastro Geral Campistas'!$A:$R,15,0),""),""))))</f>
        <v/>
      </c>
      <c r="J199" s="85">
        <f>IFERROR(VLOOKUP(A199,'Cadastro Geral Campistas'!$A:$R,4,0),"")</f>
        <v/>
      </c>
    </row>
    <row r="200">
      <c r="A200" s="61" t="inlineStr">
        <is>
          <t>MÉDIA&gt;&gt;&gt;&gt;&gt;&gt;&gt;&gt;&gt;</t>
        </is>
      </c>
      <c r="B200" s="20" t="n"/>
      <c r="C200" s="20">
        <f>IFERROR(ROUND(AVERAGE(C184:C199),1),"")</f>
        <v/>
      </c>
      <c r="D200" s="20" t="n"/>
      <c r="E200" s="20">
        <f>IFERROR(ROUND(AVERAGE(E184:E199),1),"")</f>
        <v/>
      </c>
      <c r="F200" s="116" t="n"/>
      <c r="G200" s="202" t="n"/>
      <c r="H200" s="202" t="n"/>
      <c r="I200" s="126">
        <f>COUNTIF(J184:J199,"F")&amp;"  F    |    "&amp;COUNTIF(J184:J199,"M")&amp;"  M"</f>
        <v/>
      </c>
      <c r="J200" s="127" t="n"/>
    </row>
    <row r="201">
      <c r="A201" s="118" t="n"/>
      <c r="B201" s="119" t="n"/>
      <c r="C201" s="119" t="n"/>
      <c r="D201" s="119" t="n"/>
      <c r="E201" s="119" t="n"/>
      <c r="F201" s="119" t="n"/>
      <c r="G201" s="119" t="n"/>
      <c r="H201" s="119" t="n"/>
      <c r="I201" s="138" t="inlineStr">
        <is>
          <t>Sequências das dinâmicas:</t>
        </is>
      </c>
      <c r="J201" s="131" t="n"/>
    </row>
    <row r="202">
      <c r="A202" s="120" t="n"/>
      <c r="I202" s="124" t="inlineStr">
        <is>
          <t>1 - Cabana</t>
        </is>
      </c>
      <c r="J202" s="125" t="n"/>
    </row>
    <row r="203">
      <c r="A203" s="120" t="n"/>
      <c r="I203" s="124" t="inlineStr">
        <is>
          <t>2 - Casa da Misericórdia</t>
        </is>
      </c>
      <c r="J203" s="125" t="n"/>
    </row>
    <row r="204">
      <c r="A204" s="120" t="n"/>
      <c r="I204" s="124" t="inlineStr">
        <is>
          <t>3 - Metrô</t>
        </is>
      </c>
      <c r="J204" s="125" t="n"/>
    </row>
    <row r="205">
      <c r="A205" s="120" t="n"/>
      <c r="I205" s="124" t="inlineStr">
        <is>
          <t>4 - Paredão</t>
        </is>
      </c>
      <c r="J205" s="125" t="n"/>
    </row>
    <row r="206">
      <c r="A206" s="120" t="n"/>
      <c r="I206" s="124" t="inlineStr">
        <is>
          <t>5 - Casa do Pai</t>
        </is>
      </c>
      <c r="J206" s="125" t="n"/>
    </row>
    <row r="207">
      <c r="A207" s="120" t="n"/>
      <c r="I207" s="124" t="inlineStr">
        <is>
          <t>6 - Espelho</t>
        </is>
      </c>
      <c r="J207" s="125" t="n"/>
    </row>
    <row r="208">
      <c r="A208" s="120" t="n"/>
      <c r="I208" s="124" t="inlineStr">
        <is>
          <t>7 - Balanço</t>
        </is>
      </c>
      <c r="J208" s="125" t="n"/>
    </row>
    <row r="209">
      <c r="A209" s="120" t="n"/>
      <c r="I209" s="124" t="inlineStr">
        <is>
          <t>8 - Casa de Maria</t>
        </is>
      </c>
      <c r="J209" s="125" t="n"/>
    </row>
    <row r="210" ht="14.7" customHeight="1" s="121" thickBot="1">
      <c r="A210" s="122" t="n"/>
      <c r="B210" s="123" t="n"/>
      <c r="C210" s="123" t="n"/>
      <c r="D210" s="123" t="n"/>
      <c r="E210" s="123" t="n"/>
      <c r="F210" s="123" t="n"/>
      <c r="G210" s="123" t="n"/>
      <c r="H210" s="123" t="n"/>
      <c r="I210" s="132" t="inlineStr">
        <is>
          <t>9 - Salto da Fé</t>
        </is>
      </c>
      <c r="J210" s="133" t="n"/>
    </row>
    <row r="211" ht="28" customHeight="1" s="121">
      <c r="A211" s="179" t="inlineStr">
        <is>
          <t>Cor: Marrom</t>
        </is>
      </c>
      <c r="B211" s="136" t="n"/>
      <c r="C211" s="136" t="n"/>
      <c r="D211" s="136" t="n"/>
      <c r="E211" s="169" t="inlineStr">
        <is>
          <t>Tribo Gad</t>
        </is>
      </c>
      <c r="F211" s="136" t="n"/>
      <c r="G211" s="136" t="n"/>
      <c r="H211" s="136" t="n"/>
      <c r="I211" s="136" t="n"/>
      <c r="J211" s="144" t="n"/>
    </row>
    <row r="212">
      <c r="A212" s="149" t="inlineStr">
        <is>
          <t>Anjos:</t>
        </is>
      </c>
      <c r="D212" s="128" t="n"/>
      <c r="G212" s="140" t="inlineStr">
        <is>
          <t>Anjo Guardião:</t>
        </is>
      </c>
      <c r="J212" s="125" t="n"/>
    </row>
    <row r="213">
      <c r="A213" s="120" t="n"/>
      <c r="J213" s="125" t="n"/>
    </row>
    <row r="214">
      <c r="A214" s="120" t="n"/>
      <c r="J214" s="125" t="n"/>
    </row>
    <row r="215">
      <c r="A215" s="170" t="inlineStr">
        <is>
          <t>Ricardo Freitas</t>
        </is>
      </c>
      <c r="G215" s="153" t="inlineStr">
        <is>
          <t>Humberto</t>
        </is>
      </c>
      <c r="J215" s="125" t="n"/>
    </row>
    <row r="216">
      <c r="A216" s="170" t="inlineStr">
        <is>
          <t>Lidyane</t>
        </is>
      </c>
      <c r="G216" s="145" t="n"/>
      <c r="J216" s="125" t="n"/>
    </row>
    <row r="217">
      <c r="A217" s="162" t="n"/>
      <c r="B217" s="129" t="n"/>
      <c r="C217" s="129" t="n"/>
      <c r="D217" s="129" t="n"/>
      <c r="E217" s="129" t="n"/>
      <c r="F217" s="129" t="n"/>
      <c r="G217" s="129" t="n"/>
      <c r="H217" s="129" t="n"/>
      <c r="I217" s="129" t="n"/>
      <c r="J217" s="146" t="n"/>
    </row>
    <row r="218">
      <c r="A218" s="86" t="inlineStr">
        <is>
          <t>Ficha ✏️</t>
        </is>
      </c>
      <c r="B218" s="36" t="inlineStr">
        <is>
          <t>Nome</t>
        </is>
      </c>
      <c r="C218" s="36" t="inlineStr">
        <is>
          <t>Peso</t>
        </is>
      </c>
      <c r="D218" s="36" t="inlineStr">
        <is>
          <t>Alt</t>
        </is>
      </c>
      <c r="E218" s="36" t="inlineStr">
        <is>
          <t>Idade</t>
        </is>
      </c>
      <c r="F218" s="36" t="inlineStr">
        <is>
          <t>Cidade</t>
        </is>
      </c>
      <c r="G218" s="36" t="inlineStr">
        <is>
          <t>Camiseta</t>
        </is>
      </c>
      <c r="H218" s="36" t="inlineStr">
        <is>
          <t>Celular</t>
        </is>
      </c>
      <c r="I218" s="36" t="inlineStr">
        <is>
          <t>⚠️ Alerta / Observações</t>
        </is>
      </c>
      <c r="J218" s="87" t="inlineStr">
        <is>
          <t>Sexo</t>
        </is>
      </c>
    </row>
    <row r="219" ht="18" customHeight="1" s="121">
      <c r="A219" s="57" t="n">
        <v>141</v>
      </c>
      <c r="B219" s="7">
        <f>IFERROR(VLOOKUP(A219,'Cadastro Geral Campistas'!$A:$R,2,0),"")</f>
        <v/>
      </c>
      <c r="C219" s="6">
        <f>IFERROR(VLOOKUP(A219,'Cadastro Geral Campistas'!$A:$R,5,0),"")</f>
        <v/>
      </c>
      <c r="D219" s="6">
        <f>IFERROR(VLOOKUP(A219,'Cadastro Geral Campistas'!$A:$R,6,0),"")</f>
        <v/>
      </c>
      <c r="E219" s="6">
        <f>IFERROR(VLOOKUP(A219,'Cadastro Geral Campistas'!$A:$R,7,0),"")</f>
        <v/>
      </c>
      <c r="F219" s="7">
        <f>IFERROR(VLOOKUP(A219,'Cadastro Geral Campistas'!$A:$R,9,0),"")</f>
        <v/>
      </c>
      <c r="G219" s="6">
        <f>IFERROR(VLOOKUP(A219,'Cadastro Geral Campistas'!$A:$R,3,0),"")</f>
        <v/>
      </c>
      <c r="H219" s="7">
        <f>IFERROR(VLOOKUP(A219,'Cadastro Geral Campistas'!$A:$R,8,0),"")</f>
        <v/>
      </c>
      <c r="I219" s="101">
        <f>IF(AND(IFERROR(VLOOKUP(A219,'Cadastro Geral Campistas'!$A:$R,18,0),0)&gt;0,COUNTIF($A$219:$A$234,IFERROR(VLOOKUP(A219,'Cadastro Geral Campistas'!$A:$R,18,0),0))&gt;0),"⚠️ CONFLITO! Cônjuge na mesma tribo: "&amp;IFERROR(VLOOKUP(IFERROR(VLOOKUP(A219,'Cadastro Geral Campistas'!$A:$R,18,0),0),'Cadastro Geral Campistas'!$A:$R,2,""),""),TRIM(IF(AND(IFERROR(VLOOKUP(A219,'Cadastro Geral Campistas'!$A:$R,10,0),"")&lt;&gt;"",LOWER(TRIM(IFERROR(VLOOKUP(A219,'Cadastro Geral Campistas'!$A:$R,10,0),"")))&lt;&gt;"não",LOWER(TRIM(IFERROR(VLOOKUP(A219,'Cadastro Geral Campistas'!$A:$R,10,0),"")))&lt;&gt;"nao",LOWER(TRIM(IFERROR(VLOOKUP(A219,'Cadastro Geral Campistas'!$A:$R,10,0),"")))&lt;&gt;"0"),IFERROR(VLOOKUP(A219,'Cadastro Geral Campistas'!$A:$R,10,0),"")&amp;IF(AND(IFERROR(VLOOKUP(A219,'Cadastro Geral Campistas'!$A:$R,15,0),"")&lt;&gt;"",LOWER(TRIM(IFERROR(VLOOKUP(A219,'Cadastro Geral Campistas'!$A:$R,15,0),"")))&lt;&gt;"não",LOWER(TRIM(IFERROR(VLOOKUP(A219,'Cadastro Geral Campistas'!$A:$R,15,0),"")))&lt;&gt;"nao",LOWER(TRIM(IFERROR(VLOOKUP(A219,'Cadastro Geral Campistas'!$A:$R,15,0),"")))&lt;&gt;"0")," | Alergia: "&amp;IFERROR(VLOOKUP(A219,'Cadastro Geral Campistas'!$A:$R,15,0),""),""),IF(AND(IFERROR(VLOOKUP(A219,'Cadastro Geral Campistas'!$A:$R,15,0),"")&lt;&gt;"",LOWER(TRIM(IFERROR(VLOOKUP(A219,'Cadastro Geral Campistas'!$A:$R,15,0),"")))&lt;&gt;"não",LOWER(TRIM(IFERROR(VLOOKUP(A219,'Cadastro Geral Campistas'!$A:$R,15,0),"")))&lt;&gt;"nao",LOWER(TRIM(IFERROR(VLOOKUP(A219,'Cadastro Geral Campistas'!$A:$R,15,0),"")))&lt;&gt;"0"),"Alergia: "&amp;IFERROR(VLOOKUP(A219,'Cadastro Geral Campistas'!$A:$R,15,0),""),""))))</f>
        <v/>
      </c>
      <c r="J219" s="58">
        <f>IFERROR(VLOOKUP(A219,'Cadastro Geral Campistas'!$A:$R,4,0),"")</f>
        <v/>
      </c>
    </row>
    <row r="220" ht="18" customHeight="1" s="121">
      <c r="A220" s="88" t="n">
        <v>18</v>
      </c>
      <c r="B220" s="37">
        <f>IFERROR(VLOOKUP(A220,'Cadastro Geral Campistas'!$A:$R,2,0),"")</f>
        <v/>
      </c>
      <c r="C220" s="38">
        <f>IFERROR(VLOOKUP(A220,'Cadastro Geral Campistas'!$A:$R,5,0),"")</f>
        <v/>
      </c>
      <c r="D220" s="38">
        <f>IFERROR(VLOOKUP(A220,'Cadastro Geral Campistas'!$A:$R,6,0),"")</f>
        <v/>
      </c>
      <c r="E220" s="38">
        <f>IFERROR(VLOOKUP(A220,'Cadastro Geral Campistas'!$A:$R,7,0),"")</f>
        <v/>
      </c>
      <c r="F220" s="37">
        <f>IFERROR(VLOOKUP(A220,'Cadastro Geral Campistas'!$A:$R,9,0),"")</f>
        <v/>
      </c>
      <c r="G220" s="38">
        <f>IFERROR(VLOOKUP(A220,'Cadastro Geral Campistas'!$A:$R,3,0),"")</f>
        <v/>
      </c>
      <c r="H220" s="37">
        <f>IFERROR(VLOOKUP(A220,'Cadastro Geral Campistas'!$A:$R,8,0),"")</f>
        <v/>
      </c>
      <c r="I220" s="111">
        <f>IF(AND(IFERROR(VLOOKUP(A220,'Cadastro Geral Campistas'!$A:$R,18,0),0)&gt;0,COUNTIF($A$219:$A$234,IFERROR(VLOOKUP(A220,'Cadastro Geral Campistas'!$A:$R,18,0),0))&gt;0),"⚠️ CONFLITO! Cônjuge na mesma tribo: "&amp;IFERROR(VLOOKUP(IFERROR(VLOOKUP(A220,'Cadastro Geral Campistas'!$A:$R,18,0),0),'Cadastro Geral Campistas'!$A:$R,2,""),""),TRIM(IF(AND(IFERROR(VLOOKUP(A220,'Cadastro Geral Campistas'!$A:$R,10,0),"")&lt;&gt;"",LOWER(TRIM(IFERROR(VLOOKUP(A220,'Cadastro Geral Campistas'!$A:$R,10,0),"")))&lt;&gt;"não",LOWER(TRIM(IFERROR(VLOOKUP(A220,'Cadastro Geral Campistas'!$A:$R,10,0),"")))&lt;&gt;"nao",LOWER(TRIM(IFERROR(VLOOKUP(A220,'Cadastro Geral Campistas'!$A:$R,10,0),"")))&lt;&gt;"0"),IFERROR(VLOOKUP(A220,'Cadastro Geral Campistas'!$A:$R,10,0),"")&amp;IF(AND(IFERROR(VLOOKUP(A220,'Cadastro Geral Campistas'!$A:$R,15,0),"")&lt;&gt;"",LOWER(TRIM(IFERROR(VLOOKUP(A220,'Cadastro Geral Campistas'!$A:$R,15,0),"")))&lt;&gt;"não",LOWER(TRIM(IFERROR(VLOOKUP(A220,'Cadastro Geral Campistas'!$A:$R,15,0),"")))&lt;&gt;"nao",LOWER(TRIM(IFERROR(VLOOKUP(A220,'Cadastro Geral Campistas'!$A:$R,15,0),"")))&lt;&gt;"0")," | Alergia: "&amp;IFERROR(VLOOKUP(A220,'Cadastro Geral Campistas'!$A:$R,15,0),""),""),IF(AND(IFERROR(VLOOKUP(A220,'Cadastro Geral Campistas'!$A:$R,15,0),"")&lt;&gt;"",LOWER(TRIM(IFERROR(VLOOKUP(A220,'Cadastro Geral Campistas'!$A:$R,15,0),"")))&lt;&gt;"não",LOWER(TRIM(IFERROR(VLOOKUP(A220,'Cadastro Geral Campistas'!$A:$R,15,0),"")))&lt;&gt;"nao",LOWER(TRIM(IFERROR(VLOOKUP(A220,'Cadastro Geral Campistas'!$A:$R,15,0),"")))&lt;&gt;"0"),"Alergia: "&amp;IFERROR(VLOOKUP(A220,'Cadastro Geral Campistas'!$A:$R,15,0),""),""))))</f>
        <v/>
      </c>
      <c r="J220" s="89">
        <f>IFERROR(VLOOKUP(A220,'Cadastro Geral Campistas'!$A:$R,4,0),"")</f>
        <v/>
      </c>
    </row>
    <row r="221" ht="18" customHeight="1" s="121">
      <c r="A221" s="57" t="n">
        <v>38</v>
      </c>
      <c r="B221" s="7">
        <f>IFERROR(VLOOKUP(A221,'Cadastro Geral Campistas'!$A:$R,2,0),"")</f>
        <v/>
      </c>
      <c r="C221" s="6">
        <f>IFERROR(VLOOKUP(A221,'Cadastro Geral Campistas'!$A:$R,5,0),"")</f>
        <v/>
      </c>
      <c r="D221" s="6">
        <f>IFERROR(VLOOKUP(A221,'Cadastro Geral Campistas'!$A:$R,6,0),"")</f>
        <v/>
      </c>
      <c r="E221" s="6">
        <f>IFERROR(VLOOKUP(A221,'Cadastro Geral Campistas'!$A:$R,7,0),"")</f>
        <v/>
      </c>
      <c r="F221" s="7">
        <f>IFERROR(VLOOKUP(A221,'Cadastro Geral Campistas'!$A:$R,9,0),"")</f>
        <v/>
      </c>
      <c r="G221" s="6">
        <f>IFERROR(VLOOKUP(A221,'Cadastro Geral Campistas'!$A:$R,3,0),"")</f>
        <v/>
      </c>
      <c r="H221" s="7">
        <f>IFERROR(VLOOKUP(A221,'Cadastro Geral Campistas'!$A:$R,8,0),"")</f>
        <v/>
      </c>
      <c r="I221" s="101">
        <f>IF(AND(IFERROR(VLOOKUP(A221,'Cadastro Geral Campistas'!$A:$R,18,0),0)&gt;0,COUNTIF($A$219:$A$234,IFERROR(VLOOKUP(A221,'Cadastro Geral Campistas'!$A:$R,18,0),0))&gt;0),"⚠️ CONFLITO! Cônjuge na mesma tribo: "&amp;IFERROR(VLOOKUP(IFERROR(VLOOKUP(A221,'Cadastro Geral Campistas'!$A:$R,18,0),0),'Cadastro Geral Campistas'!$A:$R,2,""),""),TRIM(IF(AND(IFERROR(VLOOKUP(A221,'Cadastro Geral Campistas'!$A:$R,10,0),"")&lt;&gt;"",LOWER(TRIM(IFERROR(VLOOKUP(A221,'Cadastro Geral Campistas'!$A:$R,10,0),"")))&lt;&gt;"não",LOWER(TRIM(IFERROR(VLOOKUP(A221,'Cadastro Geral Campistas'!$A:$R,10,0),"")))&lt;&gt;"nao",LOWER(TRIM(IFERROR(VLOOKUP(A221,'Cadastro Geral Campistas'!$A:$R,10,0),"")))&lt;&gt;"0"),IFERROR(VLOOKUP(A221,'Cadastro Geral Campistas'!$A:$R,10,0),"")&amp;IF(AND(IFERROR(VLOOKUP(A221,'Cadastro Geral Campistas'!$A:$R,15,0),"")&lt;&gt;"",LOWER(TRIM(IFERROR(VLOOKUP(A221,'Cadastro Geral Campistas'!$A:$R,15,0),"")))&lt;&gt;"não",LOWER(TRIM(IFERROR(VLOOKUP(A221,'Cadastro Geral Campistas'!$A:$R,15,0),"")))&lt;&gt;"nao",LOWER(TRIM(IFERROR(VLOOKUP(A221,'Cadastro Geral Campistas'!$A:$R,15,0),"")))&lt;&gt;"0")," | Alergia: "&amp;IFERROR(VLOOKUP(A221,'Cadastro Geral Campistas'!$A:$R,15,0),""),""),IF(AND(IFERROR(VLOOKUP(A221,'Cadastro Geral Campistas'!$A:$R,15,0),"")&lt;&gt;"",LOWER(TRIM(IFERROR(VLOOKUP(A221,'Cadastro Geral Campistas'!$A:$R,15,0),"")))&lt;&gt;"não",LOWER(TRIM(IFERROR(VLOOKUP(A221,'Cadastro Geral Campistas'!$A:$R,15,0),"")))&lt;&gt;"nao",LOWER(TRIM(IFERROR(VLOOKUP(A221,'Cadastro Geral Campistas'!$A:$R,15,0),"")))&lt;&gt;"0"),"Alergia: "&amp;IFERROR(VLOOKUP(A221,'Cadastro Geral Campistas'!$A:$R,15,0),""),""))))</f>
        <v/>
      </c>
      <c r="J221" s="58">
        <f>IFERROR(VLOOKUP(A221,'Cadastro Geral Campistas'!$A:$R,4,0),"")</f>
        <v/>
      </c>
    </row>
    <row r="222" ht="18" customHeight="1" s="121">
      <c r="A222" s="88" t="n">
        <v>47</v>
      </c>
      <c r="B222" s="37">
        <f>IFERROR(VLOOKUP(A222,'Cadastro Geral Campistas'!$A:$R,2,0),"")</f>
        <v/>
      </c>
      <c r="C222" s="38">
        <f>IFERROR(VLOOKUP(A222,'Cadastro Geral Campistas'!$A:$R,5,0),"")</f>
        <v/>
      </c>
      <c r="D222" s="38">
        <f>IFERROR(VLOOKUP(A222,'Cadastro Geral Campistas'!$A:$R,6,0),"")</f>
        <v/>
      </c>
      <c r="E222" s="38">
        <f>IFERROR(VLOOKUP(A222,'Cadastro Geral Campistas'!$A:$R,7,0),"")</f>
        <v/>
      </c>
      <c r="F222" s="37">
        <f>IFERROR(VLOOKUP(A222,'Cadastro Geral Campistas'!$A:$R,9,0),"")</f>
        <v/>
      </c>
      <c r="G222" s="38">
        <f>IFERROR(VLOOKUP(A222,'Cadastro Geral Campistas'!$A:$R,3,0),"")</f>
        <v/>
      </c>
      <c r="H222" s="37">
        <f>IFERROR(VLOOKUP(A222,'Cadastro Geral Campistas'!$A:$R,8,0),"")</f>
        <v/>
      </c>
      <c r="I222" s="111">
        <f>IF(AND(IFERROR(VLOOKUP(A222,'Cadastro Geral Campistas'!$A:$R,18,0),0)&gt;0,COUNTIF($A$219:$A$234,IFERROR(VLOOKUP(A222,'Cadastro Geral Campistas'!$A:$R,18,0),0))&gt;0),"⚠️ CONFLITO! Cônjuge na mesma tribo: "&amp;IFERROR(VLOOKUP(IFERROR(VLOOKUP(A222,'Cadastro Geral Campistas'!$A:$R,18,0),0),'Cadastro Geral Campistas'!$A:$R,2,""),""),TRIM(IF(AND(IFERROR(VLOOKUP(A222,'Cadastro Geral Campistas'!$A:$R,10,0),"")&lt;&gt;"",LOWER(TRIM(IFERROR(VLOOKUP(A222,'Cadastro Geral Campistas'!$A:$R,10,0),"")))&lt;&gt;"não",LOWER(TRIM(IFERROR(VLOOKUP(A222,'Cadastro Geral Campistas'!$A:$R,10,0),"")))&lt;&gt;"nao",LOWER(TRIM(IFERROR(VLOOKUP(A222,'Cadastro Geral Campistas'!$A:$R,10,0),"")))&lt;&gt;"0"),IFERROR(VLOOKUP(A222,'Cadastro Geral Campistas'!$A:$R,10,0),"")&amp;IF(AND(IFERROR(VLOOKUP(A222,'Cadastro Geral Campistas'!$A:$R,15,0),"")&lt;&gt;"",LOWER(TRIM(IFERROR(VLOOKUP(A222,'Cadastro Geral Campistas'!$A:$R,15,0),"")))&lt;&gt;"não",LOWER(TRIM(IFERROR(VLOOKUP(A222,'Cadastro Geral Campistas'!$A:$R,15,0),"")))&lt;&gt;"nao",LOWER(TRIM(IFERROR(VLOOKUP(A222,'Cadastro Geral Campistas'!$A:$R,15,0),"")))&lt;&gt;"0")," | Alergia: "&amp;IFERROR(VLOOKUP(A222,'Cadastro Geral Campistas'!$A:$R,15,0),""),""),IF(AND(IFERROR(VLOOKUP(A222,'Cadastro Geral Campistas'!$A:$R,15,0),"")&lt;&gt;"",LOWER(TRIM(IFERROR(VLOOKUP(A222,'Cadastro Geral Campistas'!$A:$R,15,0),"")))&lt;&gt;"não",LOWER(TRIM(IFERROR(VLOOKUP(A222,'Cadastro Geral Campistas'!$A:$R,15,0),"")))&lt;&gt;"nao",LOWER(TRIM(IFERROR(VLOOKUP(A222,'Cadastro Geral Campistas'!$A:$R,15,0),"")))&lt;&gt;"0"),"Alergia: "&amp;IFERROR(VLOOKUP(A222,'Cadastro Geral Campistas'!$A:$R,15,0),""),""))))</f>
        <v/>
      </c>
      <c r="J222" s="89">
        <f>IFERROR(VLOOKUP(A222,'Cadastro Geral Campistas'!$A:$R,4,0),"")</f>
        <v/>
      </c>
    </row>
    <row r="223" ht="18" customHeight="1" s="121">
      <c r="A223" s="57" t="n">
        <v>118</v>
      </c>
      <c r="B223" s="7">
        <f>IFERROR(VLOOKUP(A223,'Cadastro Geral Campistas'!$A:$R,2,0),"")</f>
        <v/>
      </c>
      <c r="C223" s="6">
        <f>IFERROR(VLOOKUP(A223,'Cadastro Geral Campistas'!$A:$R,5,0),"")</f>
        <v/>
      </c>
      <c r="D223" s="6">
        <f>IFERROR(VLOOKUP(A223,'Cadastro Geral Campistas'!$A:$R,6,0),"")</f>
        <v/>
      </c>
      <c r="E223" s="6">
        <f>IFERROR(VLOOKUP(A223,'Cadastro Geral Campistas'!$A:$R,7,0),"")</f>
        <v/>
      </c>
      <c r="F223" s="7">
        <f>IFERROR(VLOOKUP(A223,'Cadastro Geral Campistas'!$A:$R,9,0),"")</f>
        <v/>
      </c>
      <c r="G223" s="6">
        <f>IFERROR(VLOOKUP(A223,'Cadastro Geral Campistas'!$A:$R,3,0),"")</f>
        <v/>
      </c>
      <c r="H223" s="7">
        <f>IFERROR(VLOOKUP(A223,'Cadastro Geral Campistas'!$A:$R,8,0),"")</f>
        <v/>
      </c>
      <c r="I223" s="101">
        <f>IF(AND(IFERROR(VLOOKUP(A223,'Cadastro Geral Campistas'!$A:$R,18,0),0)&gt;0,COUNTIF($A$219:$A$234,IFERROR(VLOOKUP(A223,'Cadastro Geral Campistas'!$A:$R,18,0),0))&gt;0),"⚠️ CONFLITO! Cônjuge na mesma tribo: "&amp;IFERROR(VLOOKUP(IFERROR(VLOOKUP(A223,'Cadastro Geral Campistas'!$A:$R,18,0),0),'Cadastro Geral Campistas'!$A:$R,2,""),""),TRIM(IF(AND(IFERROR(VLOOKUP(A223,'Cadastro Geral Campistas'!$A:$R,10,0),"")&lt;&gt;"",LOWER(TRIM(IFERROR(VLOOKUP(A223,'Cadastro Geral Campistas'!$A:$R,10,0),"")))&lt;&gt;"não",LOWER(TRIM(IFERROR(VLOOKUP(A223,'Cadastro Geral Campistas'!$A:$R,10,0),"")))&lt;&gt;"nao",LOWER(TRIM(IFERROR(VLOOKUP(A223,'Cadastro Geral Campistas'!$A:$R,10,0),"")))&lt;&gt;"0"),IFERROR(VLOOKUP(A223,'Cadastro Geral Campistas'!$A:$R,10,0),"")&amp;IF(AND(IFERROR(VLOOKUP(A223,'Cadastro Geral Campistas'!$A:$R,15,0),"")&lt;&gt;"",LOWER(TRIM(IFERROR(VLOOKUP(A223,'Cadastro Geral Campistas'!$A:$R,15,0),"")))&lt;&gt;"não",LOWER(TRIM(IFERROR(VLOOKUP(A223,'Cadastro Geral Campistas'!$A:$R,15,0),"")))&lt;&gt;"nao",LOWER(TRIM(IFERROR(VLOOKUP(A223,'Cadastro Geral Campistas'!$A:$R,15,0),"")))&lt;&gt;"0")," | Alergia: "&amp;IFERROR(VLOOKUP(A223,'Cadastro Geral Campistas'!$A:$R,15,0),""),""),IF(AND(IFERROR(VLOOKUP(A223,'Cadastro Geral Campistas'!$A:$R,15,0),"")&lt;&gt;"",LOWER(TRIM(IFERROR(VLOOKUP(A223,'Cadastro Geral Campistas'!$A:$R,15,0),"")))&lt;&gt;"não",LOWER(TRIM(IFERROR(VLOOKUP(A223,'Cadastro Geral Campistas'!$A:$R,15,0),"")))&lt;&gt;"nao",LOWER(TRIM(IFERROR(VLOOKUP(A223,'Cadastro Geral Campistas'!$A:$R,15,0),"")))&lt;&gt;"0"),"Alergia: "&amp;IFERROR(VLOOKUP(A223,'Cadastro Geral Campistas'!$A:$R,15,0),""),""))))</f>
        <v/>
      </c>
      <c r="J223" s="58">
        <f>IFERROR(VLOOKUP(A223,'Cadastro Geral Campistas'!$A:$R,4,0),"")</f>
        <v/>
      </c>
    </row>
    <row r="224" ht="18" customHeight="1" s="121">
      <c r="A224" s="55" t="n">
        <v>119</v>
      </c>
      <c r="B224" s="3">
        <f>IFERROR(VLOOKUP(A224,'Cadastro Geral Campistas'!$A:$R,2,0),"")</f>
        <v/>
      </c>
      <c r="C224" s="2">
        <f>IFERROR(VLOOKUP(A224,'Cadastro Geral Campistas'!$A:$R,5,0),"")</f>
        <v/>
      </c>
      <c r="D224" s="2">
        <f>IFERROR(VLOOKUP(A224,'Cadastro Geral Campistas'!$A:$R,6,0),"")</f>
        <v/>
      </c>
      <c r="E224" s="2">
        <f>IFERROR(VLOOKUP(A224,'Cadastro Geral Campistas'!$A:$R,7,0),"")</f>
        <v/>
      </c>
      <c r="F224" s="3">
        <f>IFERROR(VLOOKUP(A224,'Cadastro Geral Campistas'!$A:$R,9,0),"")</f>
        <v/>
      </c>
      <c r="G224" s="2">
        <f>IFERROR(VLOOKUP(A224,'Cadastro Geral Campistas'!$A:$R,3,0),"")</f>
        <v/>
      </c>
      <c r="H224" s="3">
        <f>IFERROR(VLOOKUP(A224,'Cadastro Geral Campistas'!$A:$R,8,0),"")</f>
        <v/>
      </c>
      <c r="I224" s="103">
        <f>IF(AND(IFERROR(VLOOKUP(A224,'Cadastro Geral Campistas'!$A:$R,18,0),0)&gt;0,COUNTIF($A$219:$A$234,IFERROR(VLOOKUP(A224,'Cadastro Geral Campistas'!$A:$R,18,0),0))&gt;0),"⚠️ CONFLITO! Cônjuge na mesma tribo: "&amp;IFERROR(VLOOKUP(IFERROR(VLOOKUP(A224,'Cadastro Geral Campistas'!$A:$R,18,0),0),'Cadastro Geral Campistas'!$A:$R,2,""),""),TRIM(IF(AND(IFERROR(VLOOKUP(A224,'Cadastro Geral Campistas'!$A:$R,10,0),"")&lt;&gt;"",LOWER(TRIM(IFERROR(VLOOKUP(A224,'Cadastro Geral Campistas'!$A:$R,10,0),"")))&lt;&gt;"não",LOWER(TRIM(IFERROR(VLOOKUP(A224,'Cadastro Geral Campistas'!$A:$R,10,0),"")))&lt;&gt;"nao",LOWER(TRIM(IFERROR(VLOOKUP(A224,'Cadastro Geral Campistas'!$A:$R,10,0),"")))&lt;&gt;"0"),IFERROR(VLOOKUP(A224,'Cadastro Geral Campistas'!$A:$R,10,0),"")&amp;IF(AND(IFERROR(VLOOKUP(A224,'Cadastro Geral Campistas'!$A:$R,15,0),"")&lt;&gt;"",LOWER(TRIM(IFERROR(VLOOKUP(A224,'Cadastro Geral Campistas'!$A:$R,15,0),"")))&lt;&gt;"não",LOWER(TRIM(IFERROR(VLOOKUP(A224,'Cadastro Geral Campistas'!$A:$R,15,0),"")))&lt;&gt;"nao",LOWER(TRIM(IFERROR(VLOOKUP(A224,'Cadastro Geral Campistas'!$A:$R,15,0),"")))&lt;&gt;"0")," | Alergia: "&amp;IFERROR(VLOOKUP(A224,'Cadastro Geral Campistas'!$A:$R,15,0),""),""),IF(AND(IFERROR(VLOOKUP(A224,'Cadastro Geral Campistas'!$A:$R,15,0),"")&lt;&gt;"",LOWER(TRIM(IFERROR(VLOOKUP(A224,'Cadastro Geral Campistas'!$A:$R,15,0),"")))&lt;&gt;"não",LOWER(TRIM(IFERROR(VLOOKUP(A224,'Cadastro Geral Campistas'!$A:$R,15,0),"")))&lt;&gt;"nao",LOWER(TRIM(IFERROR(VLOOKUP(A224,'Cadastro Geral Campistas'!$A:$R,15,0),"")))&lt;&gt;"0"),"Alergia: "&amp;IFERROR(VLOOKUP(A224,'Cadastro Geral Campistas'!$A:$R,15,0),""),""))))</f>
        <v/>
      </c>
      <c r="J224" s="56">
        <f>IFERROR(VLOOKUP(A224,'Cadastro Geral Campistas'!$A:$R,4,0),"")</f>
        <v/>
      </c>
    </row>
    <row r="225" ht="18" customHeight="1" s="121">
      <c r="A225" s="57" t="n">
        <v>136</v>
      </c>
      <c r="B225" s="7">
        <f>IFERROR(VLOOKUP(A225,'Cadastro Geral Campistas'!$A:$R,2,0),"")</f>
        <v/>
      </c>
      <c r="C225" s="6">
        <f>IFERROR(VLOOKUP(A225,'Cadastro Geral Campistas'!$A:$R,5,0),"")</f>
        <v/>
      </c>
      <c r="D225" s="6">
        <f>IFERROR(VLOOKUP(A225,'Cadastro Geral Campistas'!$A:$R,6,0),"")</f>
        <v/>
      </c>
      <c r="E225" s="6">
        <f>IFERROR(VLOOKUP(A225,'Cadastro Geral Campistas'!$A:$R,7,0),"")</f>
        <v/>
      </c>
      <c r="F225" s="7">
        <f>IFERROR(VLOOKUP(A225,'Cadastro Geral Campistas'!$A:$R,9,0),"")</f>
        <v/>
      </c>
      <c r="G225" s="6">
        <f>IFERROR(VLOOKUP(A225,'Cadastro Geral Campistas'!$A:$R,3,0),"")</f>
        <v/>
      </c>
      <c r="H225" s="7">
        <f>IFERROR(VLOOKUP(A225,'Cadastro Geral Campistas'!$A:$R,8,0),"")</f>
        <v/>
      </c>
      <c r="I225" s="101">
        <f>IF(AND(IFERROR(VLOOKUP(A225,'Cadastro Geral Campistas'!$A:$R,18,0),0)&gt;0,COUNTIF($A$219:$A$234,IFERROR(VLOOKUP(A225,'Cadastro Geral Campistas'!$A:$R,18,0),0))&gt;0),"⚠️ CONFLITO! Cônjuge na mesma tribo: "&amp;IFERROR(VLOOKUP(IFERROR(VLOOKUP(A225,'Cadastro Geral Campistas'!$A:$R,18,0),0),'Cadastro Geral Campistas'!$A:$R,2,""),""),TRIM(IF(AND(IFERROR(VLOOKUP(A225,'Cadastro Geral Campistas'!$A:$R,10,0),"")&lt;&gt;"",LOWER(TRIM(IFERROR(VLOOKUP(A225,'Cadastro Geral Campistas'!$A:$R,10,0),"")))&lt;&gt;"não",LOWER(TRIM(IFERROR(VLOOKUP(A225,'Cadastro Geral Campistas'!$A:$R,10,0),"")))&lt;&gt;"nao",LOWER(TRIM(IFERROR(VLOOKUP(A225,'Cadastro Geral Campistas'!$A:$R,10,0),"")))&lt;&gt;"0"),IFERROR(VLOOKUP(A225,'Cadastro Geral Campistas'!$A:$R,10,0),"")&amp;IF(AND(IFERROR(VLOOKUP(A225,'Cadastro Geral Campistas'!$A:$R,15,0),"")&lt;&gt;"",LOWER(TRIM(IFERROR(VLOOKUP(A225,'Cadastro Geral Campistas'!$A:$R,15,0),"")))&lt;&gt;"não",LOWER(TRIM(IFERROR(VLOOKUP(A225,'Cadastro Geral Campistas'!$A:$R,15,0),"")))&lt;&gt;"nao",LOWER(TRIM(IFERROR(VLOOKUP(A225,'Cadastro Geral Campistas'!$A:$R,15,0),"")))&lt;&gt;"0")," | Alergia: "&amp;IFERROR(VLOOKUP(A225,'Cadastro Geral Campistas'!$A:$R,15,0),""),""),IF(AND(IFERROR(VLOOKUP(A225,'Cadastro Geral Campistas'!$A:$R,15,0),"")&lt;&gt;"",LOWER(TRIM(IFERROR(VLOOKUP(A225,'Cadastro Geral Campistas'!$A:$R,15,0),"")))&lt;&gt;"não",LOWER(TRIM(IFERROR(VLOOKUP(A225,'Cadastro Geral Campistas'!$A:$R,15,0),"")))&lt;&gt;"nao",LOWER(TRIM(IFERROR(VLOOKUP(A225,'Cadastro Geral Campistas'!$A:$R,15,0),"")))&lt;&gt;"0"),"Alergia: "&amp;IFERROR(VLOOKUP(A225,'Cadastro Geral Campistas'!$A:$R,15,0),""),""))))</f>
        <v/>
      </c>
      <c r="J225" s="58">
        <f>IFERROR(VLOOKUP(A225,'Cadastro Geral Campistas'!$A:$R,4,0),"")</f>
        <v/>
      </c>
    </row>
    <row r="226" ht="18" customHeight="1" s="121">
      <c r="A226" s="55" t="n">
        <v>137</v>
      </c>
      <c r="B226" s="3">
        <f>IFERROR(VLOOKUP(A226,'Cadastro Geral Campistas'!$A:$R,2,0),"")</f>
        <v/>
      </c>
      <c r="C226" s="2">
        <f>IFERROR(VLOOKUP(A226,'Cadastro Geral Campistas'!$A:$R,5,0),"")</f>
        <v/>
      </c>
      <c r="D226" s="2">
        <f>IFERROR(VLOOKUP(A226,'Cadastro Geral Campistas'!$A:$R,6,0),"")</f>
        <v/>
      </c>
      <c r="E226" s="2">
        <f>IFERROR(VLOOKUP(A226,'Cadastro Geral Campistas'!$A:$R,7,0),"")</f>
        <v/>
      </c>
      <c r="F226" s="3">
        <f>IFERROR(VLOOKUP(A226,'Cadastro Geral Campistas'!$A:$R,9,0),"")</f>
        <v/>
      </c>
      <c r="G226" s="2">
        <f>IFERROR(VLOOKUP(A226,'Cadastro Geral Campistas'!$A:$R,3,0),"")</f>
        <v/>
      </c>
      <c r="H226" s="3">
        <f>IFERROR(VLOOKUP(A226,'Cadastro Geral Campistas'!$A:$R,8,0),"")</f>
        <v/>
      </c>
      <c r="I226" s="103">
        <f>IF(AND(IFERROR(VLOOKUP(A226,'Cadastro Geral Campistas'!$A:$R,18,0),0)&gt;0,COUNTIF($A$219:$A$234,IFERROR(VLOOKUP(A226,'Cadastro Geral Campistas'!$A:$R,18,0),0))&gt;0),"⚠️ CONFLITO! Cônjuge na mesma tribo: "&amp;IFERROR(VLOOKUP(IFERROR(VLOOKUP(A226,'Cadastro Geral Campistas'!$A:$R,18,0),0),'Cadastro Geral Campistas'!$A:$R,2,""),""),TRIM(IF(AND(IFERROR(VLOOKUP(A226,'Cadastro Geral Campistas'!$A:$R,10,0),"")&lt;&gt;"",LOWER(TRIM(IFERROR(VLOOKUP(A226,'Cadastro Geral Campistas'!$A:$R,10,0),"")))&lt;&gt;"não",LOWER(TRIM(IFERROR(VLOOKUP(A226,'Cadastro Geral Campistas'!$A:$R,10,0),"")))&lt;&gt;"nao",LOWER(TRIM(IFERROR(VLOOKUP(A226,'Cadastro Geral Campistas'!$A:$R,10,0),"")))&lt;&gt;"0"),IFERROR(VLOOKUP(A226,'Cadastro Geral Campistas'!$A:$R,10,0),"")&amp;IF(AND(IFERROR(VLOOKUP(A226,'Cadastro Geral Campistas'!$A:$R,15,0),"")&lt;&gt;"",LOWER(TRIM(IFERROR(VLOOKUP(A226,'Cadastro Geral Campistas'!$A:$R,15,0),"")))&lt;&gt;"não",LOWER(TRIM(IFERROR(VLOOKUP(A226,'Cadastro Geral Campistas'!$A:$R,15,0),"")))&lt;&gt;"nao",LOWER(TRIM(IFERROR(VLOOKUP(A226,'Cadastro Geral Campistas'!$A:$R,15,0),"")))&lt;&gt;"0")," | Alergia: "&amp;IFERROR(VLOOKUP(A226,'Cadastro Geral Campistas'!$A:$R,15,0),""),""),IF(AND(IFERROR(VLOOKUP(A226,'Cadastro Geral Campistas'!$A:$R,15,0),"")&lt;&gt;"",LOWER(TRIM(IFERROR(VLOOKUP(A226,'Cadastro Geral Campistas'!$A:$R,15,0),"")))&lt;&gt;"não",LOWER(TRIM(IFERROR(VLOOKUP(A226,'Cadastro Geral Campistas'!$A:$R,15,0),"")))&lt;&gt;"nao",LOWER(TRIM(IFERROR(VLOOKUP(A226,'Cadastro Geral Campistas'!$A:$R,15,0),"")))&lt;&gt;"0"),"Alergia: "&amp;IFERROR(VLOOKUP(A226,'Cadastro Geral Campistas'!$A:$R,15,0),""),""))))</f>
        <v/>
      </c>
      <c r="J226" s="56">
        <f>IFERROR(VLOOKUP(A226,'Cadastro Geral Campistas'!$A:$R,4,0),"")</f>
        <v/>
      </c>
    </row>
    <row r="227" ht="18" customHeight="1" s="121">
      <c r="A227" s="57" t="n">
        <v>25</v>
      </c>
      <c r="B227" s="7">
        <f>IFERROR(VLOOKUP(A227,'Cadastro Geral Campistas'!$A:$R,2,0),"")</f>
        <v/>
      </c>
      <c r="C227" s="6">
        <f>IFERROR(VLOOKUP(A227,'Cadastro Geral Campistas'!$A:$R,5,0),"")</f>
        <v/>
      </c>
      <c r="D227" s="6">
        <f>IFERROR(VLOOKUP(A227,'Cadastro Geral Campistas'!$A:$R,6,0),"")</f>
        <v/>
      </c>
      <c r="E227" s="6">
        <f>IFERROR(VLOOKUP(A227,'Cadastro Geral Campistas'!$A:$R,7,0),"")</f>
        <v/>
      </c>
      <c r="F227" s="7">
        <f>IFERROR(VLOOKUP(A227,'Cadastro Geral Campistas'!$A:$R,9,0),"")</f>
        <v/>
      </c>
      <c r="G227" s="6">
        <f>IFERROR(VLOOKUP(A227,'Cadastro Geral Campistas'!$A:$R,3,0),"")</f>
        <v/>
      </c>
      <c r="H227" s="7">
        <f>IFERROR(VLOOKUP(A227,'Cadastro Geral Campistas'!$A:$R,8,0),"")</f>
        <v/>
      </c>
      <c r="I227" s="101">
        <f>IF(AND(IFERROR(VLOOKUP(A227,'Cadastro Geral Campistas'!$A:$R,18,0),0)&gt;0,COUNTIF($A$219:$A$234,IFERROR(VLOOKUP(A227,'Cadastro Geral Campistas'!$A:$R,18,0),0))&gt;0),"⚠️ CONFLITO! Cônjuge na mesma tribo: "&amp;IFERROR(VLOOKUP(IFERROR(VLOOKUP(A227,'Cadastro Geral Campistas'!$A:$R,18,0),0),'Cadastro Geral Campistas'!$A:$R,2,""),""),TRIM(IF(AND(IFERROR(VLOOKUP(A227,'Cadastro Geral Campistas'!$A:$R,10,0),"")&lt;&gt;"",LOWER(TRIM(IFERROR(VLOOKUP(A227,'Cadastro Geral Campistas'!$A:$R,10,0),"")))&lt;&gt;"não",LOWER(TRIM(IFERROR(VLOOKUP(A227,'Cadastro Geral Campistas'!$A:$R,10,0),"")))&lt;&gt;"nao",LOWER(TRIM(IFERROR(VLOOKUP(A227,'Cadastro Geral Campistas'!$A:$R,10,0),"")))&lt;&gt;"0"),IFERROR(VLOOKUP(A227,'Cadastro Geral Campistas'!$A:$R,10,0),"")&amp;IF(AND(IFERROR(VLOOKUP(A227,'Cadastro Geral Campistas'!$A:$R,15,0),"")&lt;&gt;"",LOWER(TRIM(IFERROR(VLOOKUP(A227,'Cadastro Geral Campistas'!$A:$R,15,0),"")))&lt;&gt;"não",LOWER(TRIM(IFERROR(VLOOKUP(A227,'Cadastro Geral Campistas'!$A:$R,15,0),"")))&lt;&gt;"nao",LOWER(TRIM(IFERROR(VLOOKUP(A227,'Cadastro Geral Campistas'!$A:$R,15,0),"")))&lt;&gt;"0")," | Alergia: "&amp;IFERROR(VLOOKUP(A227,'Cadastro Geral Campistas'!$A:$R,15,0),""),""),IF(AND(IFERROR(VLOOKUP(A227,'Cadastro Geral Campistas'!$A:$R,15,0),"")&lt;&gt;"",LOWER(TRIM(IFERROR(VLOOKUP(A227,'Cadastro Geral Campistas'!$A:$R,15,0),"")))&lt;&gt;"não",LOWER(TRIM(IFERROR(VLOOKUP(A227,'Cadastro Geral Campistas'!$A:$R,15,0),"")))&lt;&gt;"nao",LOWER(TRIM(IFERROR(VLOOKUP(A227,'Cadastro Geral Campistas'!$A:$R,15,0),"")))&lt;&gt;"0"),"Alergia: "&amp;IFERROR(VLOOKUP(A227,'Cadastro Geral Campistas'!$A:$R,15,0),""),""))))</f>
        <v/>
      </c>
      <c r="J227" s="58">
        <f>IFERROR(VLOOKUP(A227,'Cadastro Geral Campistas'!$A:$R,4,0),"")</f>
        <v/>
      </c>
    </row>
    <row r="228" ht="18" customHeight="1" s="121">
      <c r="A228" s="88" t="n">
        <v>81</v>
      </c>
      <c r="B228" s="37">
        <f>IFERROR(VLOOKUP(A228,'Cadastro Geral Campistas'!$A:$R,2,0),"")</f>
        <v/>
      </c>
      <c r="C228" s="38">
        <f>IFERROR(VLOOKUP(A228,'Cadastro Geral Campistas'!$A:$R,5,0),"")</f>
        <v/>
      </c>
      <c r="D228" s="38">
        <f>IFERROR(VLOOKUP(A228,'Cadastro Geral Campistas'!$A:$R,6,0),"")</f>
        <v/>
      </c>
      <c r="E228" s="38">
        <f>IFERROR(VLOOKUP(A228,'Cadastro Geral Campistas'!$A:$R,7,0),"")</f>
        <v/>
      </c>
      <c r="F228" s="37">
        <f>IFERROR(VLOOKUP(A228,'Cadastro Geral Campistas'!$A:$R,9,0),"")</f>
        <v/>
      </c>
      <c r="G228" s="38">
        <f>IFERROR(VLOOKUP(A228,'Cadastro Geral Campistas'!$A:$R,3,0),"")</f>
        <v/>
      </c>
      <c r="H228" s="37">
        <f>IFERROR(VLOOKUP(A228,'Cadastro Geral Campistas'!$A:$R,8,0),"")</f>
        <v/>
      </c>
      <c r="I228" s="111">
        <f>IF(AND(IFERROR(VLOOKUP(A228,'Cadastro Geral Campistas'!$A:$R,18,0),0)&gt;0,COUNTIF($A$219:$A$234,IFERROR(VLOOKUP(A228,'Cadastro Geral Campistas'!$A:$R,18,0),0))&gt;0),"⚠️ CONFLITO! Cônjuge na mesma tribo: "&amp;IFERROR(VLOOKUP(IFERROR(VLOOKUP(A228,'Cadastro Geral Campistas'!$A:$R,18,0),0),'Cadastro Geral Campistas'!$A:$R,2,""),""),TRIM(IF(AND(IFERROR(VLOOKUP(A228,'Cadastro Geral Campistas'!$A:$R,10,0),"")&lt;&gt;"",LOWER(TRIM(IFERROR(VLOOKUP(A228,'Cadastro Geral Campistas'!$A:$R,10,0),"")))&lt;&gt;"não",LOWER(TRIM(IFERROR(VLOOKUP(A228,'Cadastro Geral Campistas'!$A:$R,10,0),"")))&lt;&gt;"nao",LOWER(TRIM(IFERROR(VLOOKUP(A228,'Cadastro Geral Campistas'!$A:$R,10,0),"")))&lt;&gt;"0"),IFERROR(VLOOKUP(A228,'Cadastro Geral Campistas'!$A:$R,10,0),"")&amp;IF(AND(IFERROR(VLOOKUP(A228,'Cadastro Geral Campistas'!$A:$R,15,0),"")&lt;&gt;"",LOWER(TRIM(IFERROR(VLOOKUP(A228,'Cadastro Geral Campistas'!$A:$R,15,0),"")))&lt;&gt;"não",LOWER(TRIM(IFERROR(VLOOKUP(A228,'Cadastro Geral Campistas'!$A:$R,15,0),"")))&lt;&gt;"nao",LOWER(TRIM(IFERROR(VLOOKUP(A228,'Cadastro Geral Campistas'!$A:$R,15,0),"")))&lt;&gt;"0")," | Alergia: "&amp;IFERROR(VLOOKUP(A228,'Cadastro Geral Campistas'!$A:$R,15,0),""),""),IF(AND(IFERROR(VLOOKUP(A228,'Cadastro Geral Campistas'!$A:$R,15,0),"")&lt;&gt;"",LOWER(TRIM(IFERROR(VLOOKUP(A228,'Cadastro Geral Campistas'!$A:$R,15,0),"")))&lt;&gt;"não",LOWER(TRIM(IFERROR(VLOOKUP(A228,'Cadastro Geral Campistas'!$A:$R,15,0),"")))&lt;&gt;"nao",LOWER(TRIM(IFERROR(VLOOKUP(A228,'Cadastro Geral Campistas'!$A:$R,15,0),"")))&lt;&gt;"0"),"Alergia: "&amp;IFERROR(VLOOKUP(A228,'Cadastro Geral Campistas'!$A:$R,15,0),""),""))))</f>
        <v/>
      </c>
      <c r="J228" s="89">
        <f>IFERROR(VLOOKUP(A228,'Cadastro Geral Campistas'!$A:$R,4,0),"")</f>
        <v/>
      </c>
    </row>
    <row r="229" ht="18" customHeight="1" s="121">
      <c r="A229" s="57" t="n">
        <v>103</v>
      </c>
      <c r="B229" s="7">
        <f>IFERROR(VLOOKUP(A229,'Cadastro Geral Campistas'!$A:$R,2,0),"")</f>
        <v/>
      </c>
      <c r="C229" s="6">
        <f>IFERROR(VLOOKUP(A229,'Cadastro Geral Campistas'!$A:$R,5,0),"")</f>
        <v/>
      </c>
      <c r="D229" s="6">
        <f>IFERROR(VLOOKUP(A229,'Cadastro Geral Campistas'!$A:$R,6,0),"")</f>
        <v/>
      </c>
      <c r="E229" s="6">
        <f>IFERROR(VLOOKUP(A229,'Cadastro Geral Campistas'!$A:$R,7,0),"")</f>
        <v/>
      </c>
      <c r="F229" s="7">
        <f>IFERROR(VLOOKUP(A229,'Cadastro Geral Campistas'!$A:$R,9,0),"")</f>
        <v/>
      </c>
      <c r="G229" s="6">
        <f>IFERROR(VLOOKUP(A229,'Cadastro Geral Campistas'!$A:$R,3,0),"")</f>
        <v/>
      </c>
      <c r="H229" s="7">
        <f>IFERROR(VLOOKUP(A229,'Cadastro Geral Campistas'!$A:$R,8,0),"")</f>
        <v/>
      </c>
      <c r="I229" s="101">
        <f>IF(AND(IFERROR(VLOOKUP(A229,'Cadastro Geral Campistas'!$A:$R,18,0),0)&gt;0,COUNTIF($A$219:$A$234,IFERROR(VLOOKUP(A229,'Cadastro Geral Campistas'!$A:$R,18,0),0))&gt;0),"⚠️ CONFLITO! Cônjuge na mesma tribo: "&amp;IFERROR(VLOOKUP(IFERROR(VLOOKUP(A229,'Cadastro Geral Campistas'!$A:$R,18,0),0),'Cadastro Geral Campistas'!$A:$R,2,""),""),TRIM(IF(AND(IFERROR(VLOOKUP(A229,'Cadastro Geral Campistas'!$A:$R,10,0),"")&lt;&gt;"",LOWER(TRIM(IFERROR(VLOOKUP(A229,'Cadastro Geral Campistas'!$A:$R,10,0),"")))&lt;&gt;"não",LOWER(TRIM(IFERROR(VLOOKUP(A229,'Cadastro Geral Campistas'!$A:$R,10,0),"")))&lt;&gt;"nao",LOWER(TRIM(IFERROR(VLOOKUP(A229,'Cadastro Geral Campistas'!$A:$R,10,0),"")))&lt;&gt;"0"),IFERROR(VLOOKUP(A229,'Cadastro Geral Campistas'!$A:$R,10,0),"")&amp;IF(AND(IFERROR(VLOOKUP(A229,'Cadastro Geral Campistas'!$A:$R,15,0),"")&lt;&gt;"",LOWER(TRIM(IFERROR(VLOOKUP(A229,'Cadastro Geral Campistas'!$A:$R,15,0),"")))&lt;&gt;"não",LOWER(TRIM(IFERROR(VLOOKUP(A229,'Cadastro Geral Campistas'!$A:$R,15,0),"")))&lt;&gt;"nao",LOWER(TRIM(IFERROR(VLOOKUP(A229,'Cadastro Geral Campistas'!$A:$R,15,0),"")))&lt;&gt;"0")," | Alergia: "&amp;IFERROR(VLOOKUP(A229,'Cadastro Geral Campistas'!$A:$R,15,0),""),""),IF(AND(IFERROR(VLOOKUP(A229,'Cadastro Geral Campistas'!$A:$R,15,0),"")&lt;&gt;"",LOWER(TRIM(IFERROR(VLOOKUP(A229,'Cadastro Geral Campistas'!$A:$R,15,0),"")))&lt;&gt;"não",LOWER(TRIM(IFERROR(VLOOKUP(A229,'Cadastro Geral Campistas'!$A:$R,15,0),"")))&lt;&gt;"nao",LOWER(TRIM(IFERROR(VLOOKUP(A229,'Cadastro Geral Campistas'!$A:$R,15,0),"")))&lt;&gt;"0"),"Alergia: "&amp;IFERROR(VLOOKUP(A229,'Cadastro Geral Campistas'!$A:$R,15,0),""),""))))</f>
        <v/>
      </c>
      <c r="J229" s="58">
        <f>IFERROR(VLOOKUP(A229,'Cadastro Geral Campistas'!$A:$R,4,0),"")</f>
        <v/>
      </c>
    </row>
    <row r="230" ht="18" customHeight="1" s="121">
      <c r="A230" s="88" t="n">
        <v>107</v>
      </c>
      <c r="B230" s="37">
        <f>IFERROR(VLOOKUP(A230,'Cadastro Geral Campistas'!$A:$R,2,0),"")</f>
        <v/>
      </c>
      <c r="C230" s="38">
        <f>IFERROR(VLOOKUP(A230,'Cadastro Geral Campistas'!$A:$R,5,0),"")</f>
        <v/>
      </c>
      <c r="D230" s="38">
        <f>IFERROR(VLOOKUP(A230,'Cadastro Geral Campistas'!$A:$R,6,0),"")</f>
        <v/>
      </c>
      <c r="E230" s="38">
        <f>IFERROR(VLOOKUP(A230,'Cadastro Geral Campistas'!$A:$R,7,0),"")</f>
        <v/>
      </c>
      <c r="F230" s="37">
        <f>IFERROR(VLOOKUP(A230,'Cadastro Geral Campistas'!$A:$R,9,0),"")</f>
        <v/>
      </c>
      <c r="G230" s="38">
        <f>IFERROR(VLOOKUP(A230,'Cadastro Geral Campistas'!$A:$R,3,0),"")</f>
        <v/>
      </c>
      <c r="H230" s="37">
        <f>IFERROR(VLOOKUP(A230,'Cadastro Geral Campistas'!$A:$R,8,0),"")</f>
        <v/>
      </c>
      <c r="I230" s="111">
        <f>IF(AND(IFERROR(VLOOKUP(A230,'Cadastro Geral Campistas'!$A:$R,18,0),0)&gt;0,COUNTIF($A$219:$A$234,IFERROR(VLOOKUP(A230,'Cadastro Geral Campistas'!$A:$R,18,0),0))&gt;0),"⚠️ CONFLITO! Cônjuge na mesma tribo: "&amp;IFERROR(VLOOKUP(IFERROR(VLOOKUP(A230,'Cadastro Geral Campistas'!$A:$R,18,0),0),'Cadastro Geral Campistas'!$A:$R,2,""),""),TRIM(IF(AND(IFERROR(VLOOKUP(A230,'Cadastro Geral Campistas'!$A:$R,10,0),"")&lt;&gt;"",LOWER(TRIM(IFERROR(VLOOKUP(A230,'Cadastro Geral Campistas'!$A:$R,10,0),"")))&lt;&gt;"não",LOWER(TRIM(IFERROR(VLOOKUP(A230,'Cadastro Geral Campistas'!$A:$R,10,0),"")))&lt;&gt;"nao",LOWER(TRIM(IFERROR(VLOOKUP(A230,'Cadastro Geral Campistas'!$A:$R,10,0),"")))&lt;&gt;"0"),IFERROR(VLOOKUP(A230,'Cadastro Geral Campistas'!$A:$R,10,0),"")&amp;IF(AND(IFERROR(VLOOKUP(A230,'Cadastro Geral Campistas'!$A:$R,15,0),"")&lt;&gt;"",LOWER(TRIM(IFERROR(VLOOKUP(A230,'Cadastro Geral Campistas'!$A:$R,15,0),"")))&lt;&gt;"não",LOWER(TRIM(IFERROR(VLOOKUP(A230,'Cadastro Geral Campistas'!$A:$R,15,0),"")))&lt;&gt;"nao",LOWER(TRIM(IFERROR(VLOOKUP(A230,'Cadastro Geral Campistas'!$A:$R,15,0),"")))&lt;&gt;"0")," | Alergia: "&amp;IFERROR(VLOOKUP(A230,'Cadastro Geral Campistas'!$A:$R,15,0),""),""),IF(AND(IFERROR(VLOOKUP(A230,'Cadastro Geral Campistas'!$A:$R,15,0),"")&lt;&gt;"",LOWER(TRIM(IFERROR(VLOOKUP(A230,'Cadastro Geral Campistas'!$A:$R,15,0),"")))&lt;&gt;"não",LOWER(TRIM(IFERROR(VLOOKUP(A230,'Cadastro Geral Campistas'!$A:$R,15,0),"")))&lt;&gt;"nao",LOWER(TRIM(IFERROR(VLOOKUP(A230,'Cadastro Geral Campistas'!$A:$R,15,0),"")))&lt;&gt;"0"),"Alergia: "&amp;IFERROR(VLOOKUP(A230,'Cadastro Geral Campistas'!$A:$R,15,0),""),""))))</f>
        <v/>
      </c>
      <c r="J230" s="89">
        <f>IFERROR(VLOOKUP(A230,'Cadastro Geral Campistas'!$A:$R,4,0),"")</f>
        <v/>
      </c>
    </row>
    <row r="231" ht="18" customHeight="1" s="121">
      <c r="A231" s="57" t="n">
        <v>108</v>
      </c>
      <c r="B231" s="7">
        <f>IFERROR(VLOOKUP(A231,'Cadastro Geral Campistas'!$A:$R,2,0),"")</f>
        <v/>
      </c>
      <c r="C231" s="6">
        <f>IFERROR(VLOOKUP(A231,'Cadastro Geral Campistas'!$A:$R,5,0),"")</f>
        <v/>
      </c>
      <c r="D231" s="6">
        <f>IFERROR(VLOOKUP(A231,'Cadastro Geral Campistas'!$A:$R,6,0),"")</f>
        <v/>
      </c>
      <c r="E231" s="6">
        <f>IFERROR(VLOOKUP(A231,'Cadastro Geral Campistas'!$A:$R,7,0),"")</f>
        <v/>
      </c>
      <c r="F231" s="7">
        <f>IFERROR(VLOOKUP(A231,'Cadastro Geral Campistas'!$A:$R,9,0),"")</f>
        <v/>
      </c>
      <c r="G231" s="6">
        <f>IFERROR(VLOOKUP(A231,'Cadastro Geral Campistas'!$A:$R,3,0),"")</f>
        <v/>
      </c>
      <c r="H231" s="7">
        <f>IFERROR(VLOOKUP(A231,'Cadastro Geral Campistas'!$A:$R,8,0),"")</f>
        <v/>
      </c>
      <c r="I231" s="101">
        <f>IF(AND(IFERROR(VLOOKUP(A231,'Cadastro Geral Campistas'!$A:$R,18,0),0)&gt;0,COUNTIF($A$219:$A$234,IFERROR(VLOOKUP(A231,'Cadastro Geral Campistas'!$A:$R,18,0),0))&gt;0),"⚠️ CONFLITO! Cônjuge na mesma tribo: "&amp;IFERROR(VLOOKUP(IFERROR(VLOOKUP(A231,'Cadastro Geral Campistas'!$A:$R,18,0),0),'Cadastro Geral Campistas'!$A:$R,2,""),""),TRIM(IF(AND(IFERROR(VLOOKUP(A231,'Cadastro Geral Campistas'!$A:$R,10,0),"")&lt;&gt;"",LOWER(TRIM(IFERROR(VLOOKUP(A231,'Cadastro Geral Campistas'!$A:$R,10,0),"")))&lt;&gt;"não",LOWER(TRIM(IFERROR(VLOOKUP(A231,'Cadastro Geral Campistas'!$A:$R,10,0),"")))&lt;&gt;"nao",LOWER(TRIM(IFERROR(VLOOKUP(A231,'Cadastro Geral Campistas'!$A:$R,10,0),"")))&lt;&gt;"0"),IFERROR(VLOOKUP(A231,'Cadastro Geral Campistas'!$A:$R,10,0),"")&amp;IF(AND(IFERROR(VLOOKUP(A231,'Cadastro Geral Campistas'!$A:$R,15,0),"")&lt;&gt;"",LOWER(TRIM(IFERROR(VLOOKUP(A231,'Cadastro Geral Campistas'!$A:$R,15,0),"")))&lt;&gt;"não",LOWER(TRIM(IFERROR(VLOOKUP(A231,'Cadastro Geral Campistas'!$A:$R,15,0),"")))&lt;&gt;"nao",LOWER(TRIM(IFERROR(VLOOKUP(A231,'Cadastro Geral Campistas'!$A:$R,15,0),"")))&lt;&gt;"0")," | Alergia: "&amp;IFERROR(VLOOKUP(A231,'Cadastro Geral Campistas'!$A:$R,15,0),""),""),IF(AND(IFERROR(VLOOKUP(A231,'Cadastro Geral Campistas'!$A:$R,15,0),"")&lt;&gt;"",LOWER(TRIM(IFERROR(VLOOKUP(A231,'Cadastro Geral Campistas'!$A:$R,15,0),"")))&lt;&gt;"não",LOWER(TRIM(IFERROR(VLOOKUP(A231,'Cadastro Geral Campistas'!$A:$R,15,0),"")))&lt;&gt;"nao",LOWER(TRIM(IFERROR(VLOOKUP(A231,'Cadastro Geral Campistas'!$A:$R,15,0),"")))&lt;&gt;"0"),"Alergia: "&amp;IFERROR(VLOOKUP(A231,'Cadastro Geral Campistas'!$A:$R,15,0),""),""))))</f>
        <v/>
      </c>
      <c r="J231" s="58">
        <f>IFERROR(VLOOKUP(A231,'Cadastro Geral Campistas'!$A:$R,4,0),"")</f>
        <v/>
      </c>
    </row>
    <row r="232" ht="18" customHeight="1" s="121">
      <c r="A232" s="88" t="n">
        <v>122</v>
      </c>
      <c r="B232" s="37">
        <f>IFERROR(VLOOKUP(A232,'Cadastro Geral Campistas'!$A:$R,2,0),"")</f>
        <v/>
      </c>
      <c r="C232" s="38">
        <f>IFERROR(VLOOKUP(A232,'Cadastro Geral Campistas'!$A:$R,5,0),"")</f>
        <v/>
      </c>
      <c r="D232" s="38">
        <f>IFERROR(VLOOKUP(A232,'Cadastro Geral Campistas'!$A:$R,6,0),"")</f>
        <v/>
      </c>
      <c r="E232" s="38">
        <f>IFERROR(VLOOKUP(A232,'Cadastro Geral Campistas'!$A:$R,7,0),"")</f>
        <v/>
      </c>
      <c r="F232" s="37">
        <f>IFERROR(VLOOKUP(A232,'Cadastro Geral Campistas'!$A:$R,9,0),"")</f>
        <v/>
      </c>
      <c r="G232" s="38">
        <f>IFERROR(VLOOKUP(A232,'Cadastro Geral Campistas'!$A:$R,3,0),"")</f>
        <v/>
      </c>
      <c r="H232" s="37">
        <f>IFERROR(VLOOKUP(A232,'Cadastro Geral Campistas'!$A:$R,8,0),"")</f>
        <v/>
      </c>
      <c r="I232" s="111">
        <f>IF(AND(IFERROR(VLOOKUP(A232,'Cadastro Geral Campistas'!$A:$R,18,0),0)&gt;0,COUNTIF($A$219:$A$234,IFERROR(VLOOKUP(A232,'Cadastro Geral Campistas'!$A:$R,18,0),0))&gt;0),"⚠️ CONFLITO! Cônjuge na mesma tribo: "&amp;IFERROR(VLOOKUP(IFERROR(VLOOKUP(A232,'Cadastro Geral Campistas'!$A:$R,18,0),0),'Cadastro Geral Campistas'!$A:$R,2,""),""),TRIM(IF(AND(IFERROR(VLOOKUP(A232,'Cadastro Geral Campistas'!$A:$R,10,0),"")&lt;&gt;"",LOWER(TRIM(IFERROR(VLOOKUP(A232,'Cadastro Geral Campistas'!$A:$R,10,0),"")))&lt;&gt;"não",LOWER(TRIM(IFERROR(VLOOKUP(A232,'Cadastro Geral Campistas'!$A:$R,10,0),"")))&lt;&gt;"nao",LOWER(TRIM(IFERROR(VLOOKUP(A232,'Cadastro Geral Campistas'!$A:$R,10,0),"")))&lt;&gt;"0"),IFERROR(VLOOKUP(A232,'Cadastro Geral Campistas'!$A:$R,10,0),"")&amp;IF(AND(IFERROR(VLOOKUP(A232,'Cadastro Geral Campistas'!$A:$R,15,0),"")&lt;&gt;"",LOWER(TRIM(IFERROR(VLOOKUP(A232,'Cadastro Geral Campistas'!$A:$R,15,0),"")))&lt;&gt;"não",LOWER(TRIM(IFERROR(VLOOKUP(A232,'Cadastro Geral Campistas'!$A:$R,15,0),"")))&lt;&gt;"nao",LOWER(TRIM(IFERROR(VLOOKUP(A232,'Cadastro Geral Campistas'!$A:$R,15,0),"")))&lt;&gt;"0")," | Alergia: "&amp;IFERROR(VLOOKUP(A232,'Cadastro Geral Campistas'!$A:$R,15,0),""),""),IF(AND(IFERROR(VLOOKUP(A232,'Cadastro Geral Campistas'!$A:$R,15,0),"")&lt;&gt;"",LOWER(TRIM(IFERROR(VLOOKUP(A232,'Cadastro Geral Campistas'!$A:$R,15,0),"")))&lt;&gt;"não",LOWER(TRIM(IFERROR(VLOOKUP(A232,'Cadastro Geral Campistas'!$A:$R,15,0),"")))&lt;&gt;"nao",LOWER(TRIM(IFERROR(VLOOKUP(A232,'Cadastro Geral Campistas'!$A:$R,15,0),"")))&lt;&gt;"0"),"Alergia: "&amp;IFERROR(VLOOKUP(A232,'Cadastro Geral Campistas'!$A:$R,15,0),""),""))))</f>
        <v/>
      </c>
      <c r="J232" s="89">
        <f>IFERROR(VLOOKUP(A232,'Cadastro Geral Campistas'!$A:$R,4,0),"")</f>
        <v/>
      </c>
    </row>
    <row r="233" ht="18" customHeight="1" s="121">
      <c r="A233" s="57" t="n">
        <v>130</v>
      </c>
      <c r="B233" s="7">
        <f>IFERROR(VLOOKUP(A233,'Cadastro Geral Campistas'!$A:$R,2,0),"")</f>
        <v/>
      </c>
      <c r="C233" s="6">
        <f>IFERROR(VLOOKUP(A233,'Cadastro Geral Campistas'!$A:$R,5,0),"")</f>
        <v/>
      </c>
      <c r="D233" s="6">
        <f>IFERROR(VLOOKUP(A233,'Cadastro Geral Campistas'!$A:$R,6,0),"")</f>
        <v/>
      </c>
      <c r="E233" s="6">
        <f>IFERROR(VLOOKUP(A233,'Cadastro Geral Campistas'!$A:$R,7,0),"")</f>
        <v/>
      </c>
      <c r="F233" s="7">
        <f>IFERROR(VLOOKUP(A233,'Cadastro Geral Campistas'!$A:$R,9,0),"")</f>
        <v/>
      </c>
      <c r="G233" s="6">
        <f>IFERROR(VLOOKUP(A233,'Cadastro Geral Campistas'!$A:$R,3,0),"")</f>
        <v/>
      </c>
      <c r="H233" s="7">
        <f>IFERROR(VLOOKUP(A233,'Cadastro Geral Campistas'!$A:$R,8,0),"")</f>
        <v/>
      </c>
      <c r="I233" s="101">
        <f>IF(AND(IFERROR(VLOOKUP(A233,'Cadastro Geral Campistas'!$A:$R,18,0),0)&gt;0,COUNTIF($A$219:$A$234,IFERROR(VLOOKUP(A233,'Cadastro Geral Campistas'!$A:$R,18,0),0))&gt;0),"⚠️ CONFLITO! Cônjuge na mesma tribo: "&amp;IFERROR(VLOOKUP(IFERROR(VLOOKUP(A233,'Cadastro Geral Campistas'!$A:$R,18,0),0),'Cadastro Geral Campistas'!$A:$R,2,""),""),TRIM(IF(AND(IFERROR(VLOOKUP(A233,'Cadastro Geral Campistas'!$A:$R,10,0),"")&lt;&gt;"",LOWER(TRIM(IFERROR(VLOOKUP(A233,'Cadastro Geral Campistas'!$A:$R,10,0),"")))&lt;&gt;"não",LOWER(TRIM(IFERROR(VLOOKUP(A233,'Cadastro Geral Campistas'!$A:$R,10,0),"")))&lt;&gt;"nao",LOWER(TRIM(IFERROR(VLOOKUP(A233,'Cadastro Geral Campistas'!$A:$R,10,0),"")))&lt;&gt;"0"),IFERROR(VLOOKUP(A233,'Cadastro Geral Campistas'!$A:$R,10,0),"")&amp;IF(AND(IFERROR(VLOOKUP(A233,'Cadastro Geral Campistas'!$A:$R,15,0),"")&lt;&gt;"",LOWER(TRIM(IFERROR(VLOOKUP(A233,'Cadastro Geral Campistas'!$A:$R,15,0),"")))&lt;&gt;"não",LOWER(TRIM(IFERROR(VLOOKUP(A233,'Cadastro Geral Campistas'!$A:$R,15,0),"")))&lt;&gt;"nao",LOWER(TRIM(IFERROR(VLOOKUP(A233,'Cadastro Geral Campistas'!$A:$R,15,0),"")))&lt;&gt;"0")," | Alergia: "&amp;IFERROR(VLOOKUP(A233,'Cadastro Geral Campistas'!$A:$R,15,0),""),""),IF(AND(IFERROR(VLOOKUP(A233,'Cadastro Geral Campistas'!$A:$R,15,0),"")&lt;&gt;"",LOWER(TRIM(IFERROR(VLOOKUP(A233,'Cadastro Geral Campistas'!$A:$R,15,0),"")))&lt;&gt;"não",LOWER(TRIM(IFERROR(VLOOKUP(A233,'Cadastro Geral Campistas'!$A:$R,15,0),"")))&lt;&gt;"nao",LOWER(TRIM(IFERROR(VLOOKUP(A233,'Cadastro Geral Campistas'!$A:$R,15,0),"")))&lt;&gt;"0"),"Alergia: "&amp;IFERROR(VLOOKUP(A233,'Cadastro Geral Campistas'!$A:$R,15,0),""),""))))</f>
        <v/>
      </c>
      <c r="J233" s="58">
        <f>IFERROR(VLOOKUP(A233,'Cadastro Geral Campistas'!$A:$R,4,0),"")</f>
        <v/>
      </c>
    </row>
    <row r="234" ht="18" customHeight="1" s="121">
      <c r="A234" s="88" t="n">
        <v>132</v>
      </c>
      <c r="B234" s="37">
        <f>IFERROR(VLOOKUP(A234,'Cadastro Geral Campistas'!$A:$R,2,0),"")</f>
        <v/>
      </c>
      <c r="C234" s="38">
        <f>IFERROR(VLOOKUP(A234,'Cadastro Geral Campistas'!$A:$R,5,0),"")</f>
        <v/>
      </c>
      <c r="D234" s="38">
        <f>IFERROR(VLOOKUP(A234,'Cadastro Geral Campistas'!$A:$R,6,0),"")</f>
        <v/>
      </c>
      <c r="E234" s="38">
        <f>IFERROR(VLOOKUP(A234,'Cadastro Geral Campistas'!$A:$R,7,0),"")</f>
        <v/>
      </c>
      <c r="F234" s="37">
        <f>IFERROR(VLOOKUP(A234,'Cadastro Geral Campistas'!$A:$R,9,0),"")</f>
        <v/>
      </c>
      <c r="G234" s="38">
        <f>IFERROR(VLOOKUP(A234,'Cadastro Geral Campistas'!$A:$R,3,0),"")</f>
        <v/>
      </c>
      <c r="H234" s="37">
        <f>IFERROR(VLOOKUP(A234,'Cadastro Geral Campistas'!$A:$R,8,0),"")</f>
        <v/>
      </c>
      <c r="I234" s="111">
        <f>IF(AND(IFERROR(VLOOKUP(A234,'Cadastro Geral Campistas'!$A:$R,18,0),0)&gt;0,COUNTIF($A$219:$A$234,IFERROR(VLOOKUP(A234,'Cadastro Geral Campistas'!$A:$R,18,0),0))&gt;0),"⚠️ CONFLITO! Cônjuge na mesma tribo: "&amp;IFERROR(VLOOKUP(IFERROR(VLOOKUP(A234,'Cadastro Geral Campistas'!$A:$R,18,0),0),'Cadastro Geral Campistas'!$A:$R,2,""),""),TRIM(IF(AND(IFERROR(VLOOKUP(A234,'Cadastro Geral Campistas'!$A:$R,10,0),"")&lt;&gt;"",LOWER(TRIM(IFERROR(VLOOKUP(A234,'Cadastro Geral Campistas'!$A:$R,10,0),"")))&lt;&gt;"não",LOWER(TRIM(IFERROR(VLOOKUP(A234,'Cadastro Geral Campistas'!$A:$R,10,0),"")))&lt;&gt;"nao",LOWER(TRIM(IFERROR(VLOOKUP(A234,'Cadastro Geral Campistas'!$A:$R,10,0),"")))&lt;&gt;"0"),IFERROR(VLOOKUP(A234,'Cadastro Geral Campistas'!$A:$R,10,0),"")&amp;IF(AND(IFERROR(VLOOKUP(A234,'Cadastro Geral Campistas'!$A:$R,15,0),"")&lt;&gt;"",LOWER(TRIM(IFERROR(VLOOKUP(A234,'Cadastro Geral Campistas'!$A:$R,15,0),"")))&lt;&gt;"não",LOWER(TRIM(IFERROR(VLOOKUP(A234,'Cadastro Geral Campistas'!$A:$R,15,0),"")))&lt;&gt;"nao",LOWER(TRIM(IFERROR(VLOOKUP(A234,'Cadastro Geral Campistas'!$A:$R,15,0),"")))&lt;&gt;"0")," | Alergia: "&amp;IFERROR(VLOOKUP(A234,'Cadastro Geral Campistas'!$A:$R,15,0),""),""),IF(AND(IFERROR(VLOOKUP(A234,'Cadastro Geral Campistas'!$A:$R,15,0),"")&lt;&gt;"",LOWER(TRIM(IFERROR(VLOOKUP(A234,'Cadastro Geral Campistas'!$A:$R,15,0),"")))&lt;&gt;"não",LOWER(TRIM(IFERROR(VLOOKUP(A234,'Cadastro Geral Campistas'!$A:$R,15,0),"")))&lt;&gt;"nao",LOWER(TRIM(IFERROR(VLOOKUP(A234,'Cadastro Geral Campistas'!$A:$R,15,0),"")))&lt;&gt;"0"),"Alergia: "&amp;IFERROR(VLOOKUP(A234,'Cadastro Geral Campistas'!$A:$R,15,0),""),""))))</f>
        <v/>
      </c>
      <c r="J234" s="89">
        <f>IFERROR(VLOOKUP(A234,'Cadastro Geral Campistas'!$A:$R,4,0),"")</f>
        <v/>
      </c>
    </row>
    <row r="235">
      <c r="A235" s="61" t="inlineStr">
        <is>
          <t>MÉDIA&gt;&gt;&gt;&gt;&gt;&gt;&gt;&gt;&gt;</t>
        </is>
      </c>
      <c r="B235" s="20" t="n"/>
      <c r="C235" s="20">
        <f>IFERROR(ROUND(AVERAGE(C219:C234),1),"")</f>
        <v/>
      </c>
      <c r="D235" s="20" t="n"/>
      <c r="E235" s="20">
        <f>IFERROR(ROUND(AVERAGE(E219:E234),1),"")</f>
        <v/>
      </c>
      <c r="F235" s="116" t="n"/>
      <c r="G235" s="202" t="n"/>
      <c r="H235" s="202" t="n"/>
      <c r="I235" s="126">
        <f>COUNTIF(J219:J234,"F")&amp;"  F    |    "&amp;COUNTIF(J219:J234,"M")&amp;"  M"</f>
        <v/>
      </c>
      <c r="J235" s="127" t="n"/>
    </row>
    <row r="236">
      <c r="A236" s="118" t="n"/>
      <c r="B236" s="119" t="n"/>
      <c r="C236" s="119" t="n"/>
      <c r="D236" s="119" t="n"/>
      <c r="E236" s="119" t="n"/>
      <c r="F236" s="119" t="n"/>
      <c r="G236" s="119" t="n"/>
      <c r="H236" s="119" t="n"/>
      <c r="I236" s="138" t="inlineStr">
        <is>
          <t>Sequências das dinâmicas:</t>
        </is>
      </c>
      <c r="J236" s="131" t="n"/>
    </row>
    <row r="237">
      <c r="A237" s="120" t="n"/>
      <c r="I237" s="124" t="inlineStr">
        <is>
          <t>1 - Casa da Misericórdia</t>
        </is>
      </c>
      <c r="J237" s="125" t="n"/>
    </row>
    <row r="238">
      <c r="A238" s="120" t="n"/>
      <c r="I238" s="124" t="inlineStr">
        <is>
          <t>2 - Metrô</t>
        </is>
      </c>
      <c r="J238" s="125" t="n"/>
    </row>
    <row r="239">
      <c r="A239" s="120" t="n"/>
      <c r="I239" s="124" t="inlineStr">
        <is>
          <t>3 - Paredão</t>
        </is>
      </c>
      <c r="J239" s="125" t="n"/>
    </row>
    <row r="240">
      <c r="A240" s="120" t="n"/>
      <c r="I240" s="124" t="inlineStr">
        <is>
          <t>4 - Casa do Pai</t>
        </is>
      </c>
      <c r="J240" s="125" t="n"/>
    </row>
    <row r="241">
      <c r="A241" s="120" t="n"/>
      <c r="I241" s="124" t="inlineStr">
        <is>
          <t>5 - Espelho</t>
        </is>
      </c>
      <c r="J241" s="125" t="n"/>
    </row>
    <row r="242">
      <c r="A242" s="120" t="n"/>
      <c r="I242" s="124" t="inlineStr">
        <is>
          <t>6 - Balanço</t>
        </is>
      </c>
      <c r="J242" s="125" t="n"/>
    </row>
    <row r="243">
      <c r="A243" s="120" t="n"/>
      <c r="I243" s="124" t="inlineStr">
        <is>
          <t>7 - Casa de Maria</t>
        </is>
      </c>
      <c r="J243" s="125" t="n"/>
    </row>
    <row r="244">
      <c r="A244" s="120" t="n"/>
      <c r="I244" s="124" t="inlineStr">
        <is>
          <t>8 - Salto da Fé</t>
        </is>
      </c>
      <c r="J244" s="125" t="n"/>
    </row>
    <row r="245" ht="14.7" customHeight="1" s="121" thickBot="1">
      <c r="A245" s="122" t="n"/>
      <c r="B245" s="123" t="n"/>
      <c r="C245" s="123" t="n"/>
      <c r="D245" s="123" t="n"/>
      <c r="E245" s="123" t="n"/>
      <c r="F245" s="123" t="n"/>
      <c r="G245" s="123" t="n"/>
      <c r="H245" s="123" t="n"/>
      <c r="I245" s="132" t="inlineStr">
        <is>
          <t>9 - Cabana</t>
        </is>
      </c>
      <c r="J245" s="133" t="n"/>
    </row>
    <row r="246" ht="28" customHeight="1" s="121">
      <c r="A246" s="174" t="inlineStr">
        <is>
          <t>Cor: PRETA</t>
        </is>
      </c>
      <c r="B246" s="136" t="n"/>
      <c r="C246" s="136" t="n"/>
      <c r="D246" s="136" t="n"/>
      <c r="E246" s="159" t="inlineStr">
        <is>
          <t>Tribo Zabulom</t>
        </is>
      </c>
      <c r="F246" s="136" t="n"/>
      <c r="G246" s="136" t="n"/>
      <c r="H246" s="136" t="n"/>
      <c r="I246" s="136" t="n"/>
      <c r="J246" s="144" t="n"/>
    </row>
    <row r="247">
      <c r="A247" s="149" t="inlineStr">
        <is>
          <t>Anjos:</t>
        </is>
      </c>
      <c r="D247" s="128" t="n"/>
      <c r="G247" s="140" t="inlineStr">
        <is>
          <t>Anjo Guardião:</t>
        </is>
      </c>
      <c r="J247" s="125" t="n"/>
    </row>
    <row r="248">
      <c r="A248" s="120" t="n"/>
      <c r="J248" s="125" t="n"/>
    </row>
    <row r="249" ht="14.7" customHeight="1" s="121" thickBot="1">
      <c r="A249" s="120" t="n"/>
      <c r="J249" s="125" t="n"/>
    </row>
    <row r="250">
      <c r="A250" s="164" t="inlineStr">
        <is>
          <t>Murilo Lemos</t>
        </is>
      </c>
      <c r="B250" s="136" t="n"/>
      <c r="C250" s="144" t="n"/>
      <c r="G250" s="167" t="inlineStr">
        <is>
          <t>Gisele</t>
        </is>
      </c>
      <c r="J250" s="125" t="n"/>
    </row>
    <row r="251" ht="14.7" customHeight="1" s="121" thickBot="1">
      <c r="A251" s="178" t="inlineStr">
        <is>
          <t>Carollyni</t>
        </is>
      </c>
      <c r="B251" s="123" t="n"/>
      <c r="C251" s="133" t="n"/>
      <c r="G251" s="145" t="n"/>
      <c r="J251" s="125" t="n"/>
    </row>
    <row r="252">
      <c r="A252" s="162" t="n"/>
      <c r="B252" s="129" t="n"/>
      <c r="C252" s="129" t="n"/>
      <c r="D252" s="129" t="n"/>
      <c r="E252" s="129" t="n"/>
      <c r="F252" s="129" t="n"/>
      <c r="G252" s="129" t="n"/>
      <c r="H252" s="129" t="n"/>
      <c r="I252" s="129" t="n"/>
      <c r="J252" s="146" t="n"/>
    </row>
    <row r="253">
      <c r="A253" s="92" t="inlineStr">
        <is>
          <t>Ficha ✏️</t>
        </is>
      </c>
      <c r="B253" s="93" t="inlineStr">
        <is>
          <t>Nome</t>
        </is>
      </c>
      <c r="C253" s="93" t="inlineStr">
        <is>
          <t>Peso</t>
        </is>
      </c>
      <c r="D253" s="93" t="inlineStr">
        <is>
          <t>Alt</t>
        </is>
      </c>
      <c r="E253" s="93" t="inlineStr">
        <is>
          <t>Idade</t>
        </is>
      </c>
      <c r="F253" s="93" t="inlineStr">
        <is>
          <t>Cidade</t>
        </is>
      </c>
      <c r="G253" s="93" t="inlineStr">
        <is>
          <t>Camiseta</t>
        </is>
      </c>
      <c r="H253" s="93" t="inlineStr">
        <is>
          <t>Celular</t>
        </is>
      </c>
      <c r="I253" s="93" t="inlineStr">
        <is>
          <t>⚠️ Alerta / Observações</t>
        </is>
      </c>
      <c r="J253" s="94" t="inlineStr">
        <is>
          <t>Sexo</t>
        </is>
      </c>
    </row>
    <row r="254" ht="18" customHeight="1" s="121">
      <c r="A254" s="57" t="n">
        <v>68</v>
      </c>
      <c r="B254" s="7">
        <f>IFERROR(VLOOKUP(A254,'Cadastro Geral Campistas'!$A:$R,2,0),"")</f>
        <v/>
      </c>
      <c r="C254" s="6">
        <f>IFERROR(VLOOKUP(A254,'Cadastro Geral Campistas'!$A:$R,5,0),"")</f>
        <v/>
      </c>
      <c r="D254" s="6">
        <f>IFERROR(VLOOKUP(A254,'Cadastro Geral Campistas'!$A:$R,6,0),"")</f>
        <v/>
      </c>
      <c r="E254" s="6">
        <f>IFERROR(VLOOKUP(A254,'Cadastro Geral Campistas'!$A:$R,7,0),"")</f>
        <v/>
      </c>
      <c r="F254" s="7">
        <f>IFERROR(VLOOKUP(A254,'Cadastro Geral Campistas'!$A:$R,9,0),"")</f>
        <v/>
      </c>
      <c r="G254" s="6">
        <f>IFERROR(VLOOKUP(A254,'Cadastro Geral Campistas'!$A:$R,3,0),"")</f>
        <v/>
      </c>
      <c r="H254" s="7">
        <f>IFERROR(VLOOKUP(A254,'Cadastro Geral Campistas'!$A:$R,8,0),"")</f>
        <v/>
      </c>
      <c r="I254" s="101">
        <f>IF(AND(IFERROR(VLOOKUP(A254,'Cadastro Geral Campistas'!$A:$R,18,0),0)&gt;0,COUNTIF($A$254:$A$269,IFERROR(VLOOKUP(A254,'Cadastro Geral Campistas'!$A:$R,18,0),0))&gt;0),"⚠️ CONFLITO! Cônjuge na mesma tribo: "&amp;IFERROR(VLOOKUP(IFERROR(VLOOKUP(A254,'Cadastro Geral Campistas'!$A:$R,18,0),0),'Cadastro Geral Campistas'!$A:$R,2,""),""),TRIM(IF(AND(IFERROR(VLOOKUP(A254,'Cadastro Geral Campistas'!$A:$R,10,0),"")&lt;&gt;"",LOWER(TRIM(IFERROR(VLOOKUP(A254,'Cadastro Geral Campistas'!$A:$R,10,0),"")))&lt;&gt;"não",LOWER(TRIM(IFERROR(VLOOKUP(A254,'Cadastro Geral Campistas'!$A:$R,10,0),"")))&lt;&gt;"nao",LOWER(TRIM(IFERROR(VLOOKUP(A254,'Cadastro Geral Campistas'!$A:$R,10,0),"")))&lt;&gt;"0"),IFERROR(VLOOKUP(A254,'Cadastro Geral Campistas'!$A:$R,10,0),"")&amp;IF(AND(IFERROR(VLOOKUP(A254,'Cadastro Geral Campistas'!$A:$R,15,0),"")&lt;&gt;"",LOWER(TRIM(IFERROR(VLOOKUP(A254,'Cadastro Geral Campistas'!$A:$R,15,0),"")))&lt;&gt;"não",LOWER(TRIM(IFERROR(VLOOKUP(A254,'Cadastro Geral Campistas'!$A:$R,15,0),"")))&lt;&gt;"nao",LOWER(TRIM(IFERROR(VLOOKUP(A254,'Cadastro Geral Campistas'!$A:$R,15,0),"")))&lt;&gt;"0")," | Alergia: "&amp;IFERROR(VLOOKUP(A254,'Cadastro Geral Campistas'!$A:$R,15,0),""),""),IF(AND(IFERROR(VLOOKUP(A254,'Cadastro Geral Campistas'!$A:$R,15,0),"")&lt;&gt;"",LOWER(TRIM(IFERROR(VLOOKUP(A254,'Cadastro Geral Campistas'!$A:$R,15,0),"")))&lt;&gt;"não",LOWER(TRIM(IFERROR(VLOOKUP(A254,'Cadastro Geral Campistas'!$A:$R,15,0),"")))&lt;&gt;"nao",LOWER(TRIM(IFERROR(VLOOKUP(A254,'Cadastro Geral Campistas'!$A:$R,15,0),"")))&lt;&gt;"0"),"Alergia: "&amp;IFERROR(VLOOKUP(A254,'Cadastro Geral Campistas'!$A:$R,15,0),""),""))))</f>
        <v/>
      </c>
      <c r="J254" s="58">
        <f>IFERROR(VLOOKUP(A254,'Cadastro Geral Campistas'!$A:$R,4,0),"")</f>
        <v/>
      </c>
    </row>
    <row r="255" ht="18" customHeight="1" s="121">
      <c r="A255" s="280" t="n">
        <v>9</v>
      </c>
      <c r="B255" s="281">
        <f>IFERROR(VLOOKUP(A255,'Cadastro Geral Campistas'!$A:$R,2,0),"")</f>
        <v/>
      </c>
      <c r="C255" s="282">
        <f>IFERROR(VLOOKUP(A255,'Cadastro Geral Campistas'!$A:$R,5,0),"")</f>
        <v/>
      </c>
      <c r="D255" s="282">
        <f>IFERROR(VLOOKUP(A255,'Cadastro Geral Campistas'!$A:$R,6,0),"")</f>
        <v/>
      </c>
      <c r="E255" s="282">
        <f>IFERROR(VLOOKUP(A255,'Cadastro Geral Campistas'!$A:$R,7,0),"")</f>
        <v/>
      </c>
      <c r="F255" s="281">
        <f>IFERROR(VLOOKUP(A255,'Cadastro Geral Campistas'!$A:$R,9,0),"")</f>
        <v/>
      </c>
      <c r="G255" s="282">
        <f>IFERROR(VLOOKUP(A255,'Cadastro Geral Campistas'!$A:$R,3,0),"")</f>
        <v/>
      </c>
      <c r="H255" s="281">
        <f>IFERROR(VLOOKUP(A255,'Cadastro Geral Campistas'!$A:$R,8,0),"")</f>
        <v/>
      </c>
      <c r="I255" s="283">
        <f>IF(AND(IFERROR(VLOOKUP(A255,'Cadastro Geral Campistas'!$A:$R,18,0),0)&gt;0,COUNTIF($A$254:$A$269,IFERROR(VLOOKUP(A255,'Cadastro Geral Campistas'!$A:$R,18,0),0))&gt;0),"⚠️ CONFLITO! Cônjuge na mesma tribo: "&amp;IFERROR(VLOOKUP(IFERROR(VLOOKUP(A255,'Cadastro Geral Campistas'!$A:$R,18,0),0),'Cadastro Geral Campistas'!$A:$R,2,""),""),TRIM(IF(AND(IFERROR(VLOOKUP(A255,'Cadastro Geral Campistas'!$A:$R,10,0),"")&lt;&gt;"",LOWER(TRIM(IFERROR(VLOOKUP(A255,'Cadastro Geral Campistas'!$A:$R,10,0),"")))&lt;&gt;"não",LOWER(TRIM(IFERROR(VLOOKUP(A255,'Cadastro Geral Campistas'!$A:$R,10,0),"")))&lt;&gt;"nao",LOWER(TRIM(IFERROR(VLOOKUP(A255,'Cadastro Geral Campistas'!$A:$R,10,0),"")))&lt;&gt;"0"),IFERROR(VLOOKUP(A255,'Cadastro Geral Campistas'!$A:$R,10,0),"")&amp;IF(AND(IFERROR(VLOOKUP(A255,'Cadastro Geral Campistas'!$A:$R,15,0),"")&lt;&gt;"",LOWER(TRIM(IFERROR(VLOOKUP(A255,'Cadastro Geral Campistas'!$A:$R,15,0),"")))&lt;&gt;"não",LOWER(TRIM(IFERROR(VLOOKUP(A255,'Cadastro Geral Campistas'!$A:$R,15,0),"")))&lt;&gt;"nao",LOWER(TRIM(IFERROR(VLOOKUP(A255,'Cadastro Geral Campistas'!$A:$R,15,0),"")))&lt;&gt;"0")," | Alergia: "&amp;IFERROR(VLOOKUP(A255,'Cadastro Geral Campistas'!$A:$R,15,0),""),""),IF(AND(IFERROR(VLOOKUP(A255,'Cadastro Geral Campistas'!$A:$R,15,0),"")&lt;&gt;"",LOWER(TRIM(IFERROR(VLOOKUP(A255,'Cadastro Geral Campistas'!$A:$R,15,0),"")))&lt;&gt;"não",LOWER(TRIM(IFERROR(VLOOKUP(A255,'Cadastro Geral Campistas'!$A:$R,15,0),"")))&lt;&gt;"nao",LOWER(TRIM(IFERROR(VLOOKUP(A255,'Cadastro Geral Campistas'!$A:$R,15,0),"")))&lt;&gt;"0"),"Alergia: "&amp;IFERROR(VLOOKUP(A255,'Cadastro Geral Campistas'!$A:$R,15,0),""),""))))</f>
        <v/>
      </c>
      <c r="J255" s="284">
        <f>IFERROR(VLOOKUP(A255,'Cadastro Geral Campistas'!$A:$R,4,0),"")</f>
        <v/>
      </c>
    </row>
    <row r="256" ht="18" customHeight="1" s="121">
      <c r="A256" s="55" t="n">
        <v>12</v>
      </c>
      <c r="B256" s="3">
        <f>IFERROR(VLOOKUP(A256,'Cadastro Geral Campistas'!$A:$R,2,0),"")</f>
        <v/>
      </c>
      <c r="C256" s="2">
        <f>IFERROR(VLOOKUP(A256,'Cadastro Geral Campistas'!$A:$R,5,0),"")</f>
        <v/>
      </c>
      <c r="D256" s="2">
        <f>IFERROR(VLOOKUP(A256,'Cadastro Geral Campistas'!$A:$R,6,0),"")</f>
        <v/>
      </c>
      <c r="E256" s="2">
        <f>IFERROR(VLOOKUP(A256,'Cadastro Geral Campistas'!$A:$R,7,0),"")</f>
        <v/>
      </c>
      <c r="F256" s="3">
        <f>IFERROR(VLOOKUP(A256,'Cadastro Geral Campistas'!$A:$R,9,0),"")</f>
        <v/>
      </c>
      <c r="G256" s="2">
        <f>IFERROR(VLOOKUP(A256,'Cadastro Geral Campistas'!$A:$R,3,0),"")</f>
        <v/>
      </c>
      <c r="H256" s="3">
        <f>IFERROR(VLOOKUP(A256,'Cadastro Geral Campistas'!$A:$R,8,0),"")</f>
        <v/>
      </c>
      <c r="I256" s="103">
        <f>IF(AND(IFERROR(VLOOKUP(A256,'Cadastro Geral Campistas'!$A:$R,18,0),0)&gt;0,COUNTIF($A$254:$A$269,IFERROR(VLOOKUP(A256,'Cadastro Geral Campistas'!$A:$R,18,0),0))&gt;0),"⚠️ CONFLITO! Cônjuge na mesma tribo: "&amp;IFERROR(VLOOKUP(IFERROR(VLOOKUP(A256,'Cadastro Geral Campistas'!$A:$R,18,0),0),'Cadastro Geral Campistas'!$A:$R,2,""),""),TRIM(IF(AND(IFERROR(VLOOKUP(A256,'Cadastro Geral Campistas'!$A:$R,10,0),"")&lt;&gt;"",LOWER(TRIM(IFERROR(VLOOKUP(A256,'Cadastro Geral Campistas'!$A:$R,10,0),"")))&lt;&gt;"não",LOWER(TRIM(IFERROR(VLOOKUP(A256,'Cadastro Geral Campistas'!$A:$R,10,0),"")))&lt;&gt;"nao",LOWER(TRIM(IFERROR(VLOOKUP(A256,'Cadastro Geral Campistas'!$A:$R,10,0),"")))&lt;&gt;"0"),IFERROR(VLOOKUP(A256,'Cadastro Geral Campistas'!$A:$R,10,0),"")&amp;IF(AND(IFERROR(VLOOKUP(A256,'Cadastro Geral Campistas'!$A:$R,15,0),"")&lt;&gt;"",LOWER(TRIM(IFERROR(VLOOKUP(A256,'Cadastro Geral Campistas'!$A:$R,15,0),"")))&lt;&gt;"não",LOWER(TRIM(IFERROR(VLOOKUP(A256,'Cadastro Geral Campistas'!$A:$R,15,0),"")))&lt;&gt;"nao",LOWER(TRIM(IFERROR(VLOOKUP(A256,'Cadastro Geral Campistas'!$A:$R,15,0),"")))&lt;&gt;"0")," | Alergia: "&amp;IFERROR(VLOOKUP(A256,'Cadastro Geral Campistas'!$A:$R,15,0),""),""),IF(AND(IFERROR(VLOOKUP(A256,'Cadastro Geral Campistas'!$A:$R,15,0),"")&lt;&gt;"",LOWER(TRIM(IFERROR(VLOOKUP(A256,'Cadastro Geral Campistas'!$A:$R,15,0),"")))&lt;&gt;"não",LOWER(TRIM(IFERROR(VLOOKUP(A256,'Cadastro Geral Campistas'!$A:$R,15,0),"")))&lt;&gt;"nao",LOWER(TRIM(IFERROR(VLOOKUP(A256,'Cadastro Geral Campistas'!$A:$R,15,0),"")))&lt;&gt;"0"),"Alergia: "&amp;IFERROR(VLOOKUP(A256,'Cadastro Geral Campistas'!$A:$R,15,0),""),""))))</f>
        <v/>
      </c>
      <c r="J256" s="56">
        <f>IFERROR(VLOOKUP(A256,'Cadastro Geral Campistas'!$A:$R,4,0),"")</f>
        <v/>
      </c>
    </row>
    <row r="257" ht="18" customHeight="1" s="121">
      <c r="A257" s="280" t="n">
        <v>37</v>
      </c>
      <c r="B257" s="281">
        <f>IFERROR(VLOOKUP(A257,'Cadastro Geral Campistas'!$A:$R,2,0),"")</f>
        <v/>
      </c>
      <c r="C257" s="282">
        <f>IFERROR(VLOOKUP(A257,'Cadastro Geral Campistas'!$A:$R,5,0),"")</f>
        <v/>
      </c>
      <c r="D257" s="282">
        <f>IFERROR(VLOOKUP(A257,'Cadastro Geral Campistas'!$A:$R,6,0),"")</f>
        <v/>
      </c>
      <c r="E257" s="282">
        <f>IFERROR(VLOOKUP(A257,'Cadastro Geral Campistas'!$A:$R,7,0),"")</f>
        <v/>
      </c>
      <c r="F257" s="281">
        <f>IFERROR(VLOOKUP(A257,'Cadastro Geral Campistas'!$A:$R,9,0),"")</f>
        <v/>
      </c>
      <c r="G257" s="282">
        <f>IFERROR(VLOOKUP(A257,'Cadastro Geral Campistas'!$A:$R,3,0),"")</f>
        <v/>
      </c>
      <c r="H257" s="281">
        <f>IFERROR(VLOOKUP(A257,'Cadastro Geral Campistas'!$A:$R,8,0),"")</f>
        <v/>
      </c>
      <c r="I257" s="283">
        <f>IF(AND(IFERROR(VLOOKUP(A257,'Cadastro Geral Campistas'!$A:$R,18,0),0)&gt;0,COUNTIF($A$254:$A$269,IFERROR(VLOOKUP(A257,'Cadastro Geral Campistas'!$A:$R,18,0),0))&gt;0),"⚠️ CONFLITO! Cônjuge na mesma tribo: "&amp;IFERROR(VLOOKUP(IFERROR(VLOOKUP(A257,'Cadastro Geral Campistas'!$A:$R,18,0),0),'Cadastro Geral Campistas'!$A:$R,2,""),""),TRIM(IF(AND(IFERROR(VLOOKUP(A257,'Cadastro Geral Campistas'!$A:$R,10,0),"")&lt;&gt;"",LOWER(TRIM(IFERROR(VLOOKUP(A257,'Cadastro Geral Campistas'!$A:$R,10,0),"")))&lt;&gt;"não",LOWER(TRIM(IFERROR(VLOOKUP(A257,'Cadastro Geral Campistas'!$A:$R,10,0),"")))&lt;&gt;"nao",LOWER(TRIM(IFERROR(VLOOKUP(A257,'Cadastro Geral Campistas'!$A:$R,10,0),"")))&lt;&gt;"0"),IFERROR(VLOOKUP(A257,'Cadastro Geral Campistas'!$A:$R,10,0),"")&amp;IF(AND(IFERROR(VLOOKUP(A257,'Cadastro Geral Campistas'!$A:$R,15,0),"")&lt;&gt;"",LOWER(TRIM(IFERROR(VLOOKUP(A257,'Cadastro Geral Campistas'!$A:$R,15,0),"")))&lt;&gt;"não",LOWER(TRIM(IFERROR(VLOOKUP(A257,'Cadastro Geral Campistas'!$A:$R,15,0),"")))&lt;&gt;"nao",LOWER(TRIM(IFERROR(VLOOKUP(A257,'Cadastro Geral Campistas'!$A:$R,15,0),"")))&lt;&gt;"0")," | Alergia: "&amp;IFERROR(VLOOKUP(A257,'Cadastro Geral Campistas'!$A:$R,15,0),""),""),IF(AND(IFERROR(VLOOKUP(A257,'Cadastro Geral Campistas'!$A:$R,15,0),"")&lt;&gt;"",LOWER(TRIM(IFERROR(VLOOKUP(A257,'Cadastro Geral Campistas'!$A:$R,15,0),"")))&lt;&gt;"não",LOWER(TRIM(IFERROR(VLOOKUP(A257,'Cadastro Geral Campistas'!$A:$R,15,0),"")))&lt;&gt;"nao",LOWER(TRIM(IFERROR(VLOOKUP(A257,'Cadastro Geral Campistas'!$A:$R,15,0),"")))&lt;&gt;"0"),"Alergia: "&amp;IFERROR(VLOOKUP(A257,'Cadastro Geral Campistas'!$A:$R,15,0),""),""))))</f>
        <v/>
      </c>
      <c r="J257" s="284">
        <f>IFERROR(VLOOKUP(A257,'Cadastro Geral Campistas'!$A:$R,4,0),"")</f>
        <v/>
      </c>
    </row>
    <row r="258" ht="18" customHeight="1" s="121">
      <c r="A258" s="57" t="n">
        <v>58</v>
      </c>
      <c r="B258" s="7">
        <f>IFERROR(VLOOKUP(A258,'Cadastro Geral Campistas'!$A:$R,2,0),"")</f>
        <v/>
      </c>
      <c r="C258" s="6">
        <f>IFERROR(VLOOKUP(A258,'Cadastro Geral Campistas'!$A:$R,5,0),"")</f>
        <v/>
      </c>
      <c r="D258" s="6">
        <f>IFERROR(VLOOKUP(A258,'Cadastro Geral Campistas'!$A:$R,6,0),"")</f>
        <v/>
      </c>
      <c r="E258" s="6">
        <f>IFERROR(VLOOKUP(A258,'Cadastro Geral Campistas'!$A:$R,7,0),"")</f>
        <v/>
      </c>
      <c r="F258" s="7">
        <f>IFERROR(VLOOKUP(A258,'Cadastro Geral Campistas'!$A:$R,9,0),"")</f>
        <v/>
      </c>
      <c r="G258" s="6">
        <f>IFERROR(VLOOKUP(A258,'Cadastro Geral Campistas'!$A:$R,3,0),"")</f>
        <v/>
      </c>
      <c r="H258" s="7">
        <f>IFERROR(VLOOKUP(A258,'Cadastro Geral Campistas'!$A:$R,8,0),"")</f>
        <v/>
      </c>
      <c r="I258" s="101">
        <f>IF(AND(IFERROR(VLOOKUP(A258,'Cadastro Geral Campistas'!$A:$R,18,0),0)&gt;0,COUNTIF($A$254:$A$269,IFERROR(VLOOKUP(A258,'Cadastro Geral Campistas'!$A:$R,18,0),0))&gt;0),"⚠️ CONFLITO! Cônjuge na mesma tribo: "&amp;IFERROR(VLOOKUP(IFERROR(VLOOKUP(A258,'Cadastro Geral Campistas'!$A:$R,18,0),0),'Cadastro Geral Campistas'!$A:$R,2,""),""),TRIM(IF(AND(IFERROR(VLOOKUP(A258,'Cadastro Geral Campistas'!$A:$R,10,0),"")&lt;&gt;"",LOWER(TRIM(IFERROR(VLOOKUP(A258,'Cadastro Geral Campistas'!$A:$R,10,0),"")))&lt;&gt;"não",LOWER(TRIM(IFERROR(VLOOKUP(A258,'Cadastro Geral Campistas'!$A:$R,10,0),"")))&lt;&gt;"nao",LOWER(TRIM(IFERROR(VLOOKUP(A258,'Cadastro Geral Campistas'!$A:$R,10,0),"")))&lt;&gt;"0"),IFERROR(VLOOKUP(A258,'Cadastro Geral Campistas'!$A:$R,10,0),"")&amp;IF(AND(IFERROR(VLOOKUP(A258,'Cadastro Geral Campistas'!$A:$R,15,0),"")&lt;&gt;"",LOWER(TRIM(IFERROR(VLOOKUP(A258,'Cadastro Geral Campistas'!$A:$R,15,0),"")))&lt;&gt;"não",LOWER(TRIM(IFERROR(VLOOKUP(A258,'Cadastro Geral Campistas'!$A:$R,15,0),"")))&lt;&gt;"nao",LOWER(TRIM(IFERROR(VLOOKUP(A258,'Cadastro Geral Campistas'!$A:$R,15,0),"")))&lt;&gt;"0")," | Alergia: "&amp;IFERROR(VLOOKUP(A258,'Cadastro Geral Campistas'!$A:$R,15,0),""),""),IF(AND(IFERROR(VLOOKUP(A258,'Cadastro Geral Campistas'!$A:$R,15,0),"")&lt;&gt;"",LOWER(TRIM(IFERROR(VLOOKUP(A258,'Cadastro Geral Campistas'!$A:$R,15,0),"")))&lt;&gt;"não",LOWER(TRIM(IFERROR(VLOOKUP(A258,'Cadastro Geral Campistas'!$A:$R,15,0),"")))&lt;&gt;"nao",LOWER(TRIM(IFERROR(VLOOKUP(A258,'Cadastro Geral Campistas'!$A:$R,15,0),"")))&lt;&gt;"0"),"Alergia: "&amp;IFERROR(VLOOKUP(A258,'Cadastro Geral Campistas'!$A:$R,15,0),""),""))))</f>
        <v/>
      </c>
      <c r="J258" s="58">
        <f>IFERROR(VLOOKUP(A258,'Cadastro Geral Campistas'!$A:$R,4,0),"")</f>
        <v/>
      </c>
    </row>
    <row r="259" ht="18" customHeight="1" s="121">
      <c r="A259" s="280" t="n">
        <v>61</v>
      </c>
      <c r="B259" s="281">
        <f>IFERROR(VLOOKUP(A259,'Cadastro Geral Campistas'!$A:$R,2,0),"")</f>
        <v/>
      </c>
      <c r="C259" s="282">
        <f>IFERROR(VLOOKUP(A259,'Cadastro Geral Campistas'!$A:$R,5,0),"")</f>
        <v/>
      </c>
      <c r="D259" s="282">
        <f>IFERROR(VLOOKUP(A259,'Cadastro Geral Campistas'!$A:$R,6,0),"")</f>
        <v/>
      </c>
      <c r="E259" s="282">
        <f>IFERROR(VLOOKUP(A259,'Cadastro Geral Campistas'!$A:$R,7,0),"")</f>
        <v/>
      </c>
      <c r="F259" s="281">
        <f>IFERROR(VLOOKUP(A259,'Cadastro Geral Campistas'!$A:$R,9,0),"")</f>
        <v/>
      </c>
      <c r="G259" s="282">
        <f>IFERROR(VLOOKUP(A259,'Cadastro Geral Campistas'!$A:$R,3,0),"")</f>
        <v/>
      </c>
      <c r="H259" s="281">
        <f>IFERROR(VLOOKUP(A259,'Cadastro Geral Campistas'!$A:$R,8,0),"")</f>
        <v/>
      </c>
      <c r="I259" s="283">
        <f>IF(AND(IFERROR(VLOOKUP(A259,'Cadastro Geral Campistas'!$A:$R,18,0),0)&gt;0,COUNTIF($A$254:$A$269,IFERROR(VLOOKUP(A259,'Cadastro Geral Campistas'!$A:$R,18,0),0))&gt;0),"⚠️ CONFLITO! Cônjuge na mesma tribo: "&amp;IFERROR(VLOOKUP(IFERROR(VLOOKUP(A259,'Cadastro Geral Campistas'!$A:$R,18,0),0),'Cadastro Geral Campistas'!$A:$R,2,""),""),TRIM(IF(AND(IFERROR(VLOOKUP(A259,'Cadastro Geral Campistas'!$A:$R,10,0),"")&lt;&gt;"",LOWER(TRIM(IFERROR(VLOOKUP(A259,'Cadastro Geral Campistas'!$A:$R,10,0),"")))&lt;&gt;"não",LOWER(TRIM(IFERROR(VLOOKUP(A259,'Cadastro Geral Campistas'!$A:$R,10,0),"")))&lt;&gt;"nao",LOWER(TRIM(IFERROR(VLOOKUP(A259,'Cadastro Geral Campistas'!$A:$R,10,0),"")))&lt;&gt;"0"),IFERROR(VLOOKUP(A259,'Cadastro Geral Campistas'!$A:$R,10,0),"")&amp;IF(AND(IFERROR(VLOOKUP(A259,'Cadastro Geral Campistas'!$A:$R,15,0),"")&lt;&gt;"",LOWER(TRIM(IFERROR(VLOOKUP(A259,'Cadastro Geral Campistas'!$A:$R,15,0),"")))&lt;&gt;"não",LOWER(TRIM(IFERROR(VLOOKUP(A259,'Cadastro Geral Campistas'!$A:$R,15,0),"")))&lt;&gt;"nao",LOWER(TRIM(IFERROR(VLOOKUP(A259,'Cadastro Geral Campistas'!$A:$R,15,0),"")))&lt;&gt;"0")," | Alergia: "&amp;IFERROR(VLOOKUP(A259,'Cadastro Geral Campistas'!$A:$R,15,0),""),""),IF(AND(IFERROR(VLOOKUP(A259,'Cadastro Geral Campistas'!$A:$R,15,0),"")&lt;&gt;"",LOWER(TRIM(IFERROR(VLOOKUP(A259,'Cadastro Geral Campistas'!$A:$R,15,0),"")))&lt;&gt;"não",LOWER(TRIM(IFERROR(VLOOKUP(A259,'Cadastro Geral Campistas'!$A:$R,15,0),"")))&lt;&gt;"nao",LOWER(TRIM(IFERROR(VLOOKUP(A259,'Cadastro Geral Campistas'!$A:$R,15,0),"")))&lt;&gt;"0"),"Alergia: "&amp;IFERROR(VLOOKUP(A259,'Cadastro Geral Campistas'!$A:$R,15,0),""),""))))</f>
        <v/>
      </c>
      <c r="J259" s="284">
        <f>IFERROR(VLOOKUP(A259,'Cadastro Geral Campistas'!$A:$R,4,0),"")</f>
        <v/>
      </c>
    </row>
    <row r="260" ht="18" customHeight="1" s="121">
      <c r="A260" s="57" t="n">
        <v>70</v>
      </c>
      <c r="B260" s="7">
        <f>IFERROR(VLOOKUP(A260,'Cadastro Geral Campistas'!$A:$R,2,0),"")</f>
        <v/>
      </c>
      <c r="C260" s="6">
        <f>IFERROR(VLOOKUP(A260,'Cadastro Geral Campistas'!$A:$R,5,0),"")</f>
        <v/>
      </c>
      <c r="D260" s="6">
        <f>IFERROR(VLOOKUP(A260,'Cadastro Geral Campistas'!$A:$R,6,0),"")</f>
        <v/>
      </c>
      <c r="E260" s="6">
        <f>IFERROR(VLOOKUP(A260,'Cadastro Geral Campistas'!$A:$R,7,0),"")</f>
        <v/>
      </c>
      <c r="F260" s="7">
        <f>IFERROR(VLOOKUP(A260,'Cadastro Geral Campistas'!$A:$R,9,0),"")</f>
        <v/>
      </c>
      <c r="G260" s="6">
        <f>IFERROR(VLOOKUP(A260,'Cadastro Geral Campistas'!$A:$R,3,0),"")</f>
        <v/>
      </c>
      <c r="H260" s="7">
        <f>IFERROR(VLOOKUP(A260,'Cadastro Geral Campistas'!$A:$R,8,0),"")</f>
        <v/>
      </c>
      <c r="I260" s="101">
        <f>IF(AND(IFERROR(VLOOKUP(A260,'Cadastro Geral Campistas'!$A:$R,18,0),0)&gt;0,COUNTIF($A$254:$A$269,IFERROR(VLOOKUP(A260,'Cadastro Geral Campistas'!$A:$R,18,0),0))&gt;0),"⚠️ CONFLITO! Cônjuge na mesma tribo: "&amp;IFERROR(VLOOKUP(IFERROR(VLOOKUP(A260,'Cadastro Geral Campistas'!$A:$R,18,0),0),'Cadastro Geral Campistas'!$A:$R,2,""),""),TRIM(IF(AND(IFERROR(VLOOKUP(A260,'Cadastro Geral Campistas'!$A:$R,10,0),"")&lt;&gt;"",LOWER(TRIM(IFERROR(VLOOKUP(A260,'Cadastro Geral Campistas'!$A:$R,10,0),"")))&lt;&gt;"não",LOWER(TRIM(IFERROR(VLOOKUP(A260,'Cadastro Geral Campistas'!$A:$R,10,0),"")))&lt;&gt;"nao",LOWER(TRIM(IFERROR(VLOOKUP(A260,'Cadastro Geral Campistas'!$A:$R,10,0),"")))&lt;&gt;"0"),IFERROR(VLOOKUP(A260,'Cadastro Geral Campistas'!$A:$R,10,0),"")&amp;IF(AND(IFERROR(VLOOKUP(A260,'Cadastro Geral Campistas'!$A:$R,15,0),"")&lt;&gt;"",LOWER(TRIM(IFERROR(VLOOKUP(A260,'Cadastro Geral Campistas'!$A:$R,15,0),"")))&lt;&gt;"não",LOWER(TRIM(IFERROR(VLOOKUP(A260,'Cadastro Geral Campistas'!$A:$R,15,0),"")))&lt;&gt;"nao",LOWER(TRIM(IFERROR(VLOOKUP(A260,'Cadastro Geral Campistas'!$A:$R,15,0),"")))&lt;&gt;"0")," | Alergia: "&amp;IFERROR(VLOOKUP(A260,'Cadastro Geral Campistas'!$A:$R,15,0),""),""),IF(AND(IFERROR(VLOOKUP(A260,'Cadastro Geral Campistas'!$A:$R,15,0),"")&lt;&gt;"",LOWER(TRIM(IFERROR(VLOOKUP(A260,'Cadastro Geral Campistas'!$A:$R,15,0),"")))&lt;&gt;"não",LOWER(TRIM(IFERROR(VLOOKUP(A260,'Cadastro Geral Campistas'!$A:$R,15,0),"")))&lt;&gt;"nao",LOWER(TRIM(IFERROR(VLOOKUP(A260,'Cadastro Geral Campistas'!$A:$R,15,0),"")))&lt;&gt;"0"),"Alergia: "&amp;IFERROR(VLOOKUP(A260,'Cadastro Geral Campistas'!$A:$R,15,0),""),""))))</f>
        <v/>
      </c>
      <c r="J260" s="58">
        <f>IFERROR(VLOOKUP(A260,'Cadastro Geral Campistas'!$A:$R,4,0),"")</f>
        <v/>
      </c>
    </row>
    <row r="261" ht="18" customHeight="1" s="121">
      <c r="A261" s="55" t="n">
        <v>100</v>
      </c>
      <c r="B261" s="3">
        <f>IFERROR(VLOOKUP(A261,'Cadastro Geral Campistas'!$A:$R,2,0),"")</f>
        <v/>
      </c>
      <c r="C261" s="2">
        <f>IFERROR(VLOOKUP(A261,'Cadastro Geral Campistas'!$A:$R,5,0),"")</f>
        <v/>
      </c>
      <c r="D261" s="2">
        <f>IFERROR(VLOOKUP(A261,'Cadastro Geral Campistas'!$A:$R,6,0),"")</f>
        <v/>
      </c>
      <c r="E261" s="2">
        <f>IFERROR(VLOOKUP(A261,'Cadastro Geral Campistas'!$A:$R,7,0),"")</f>
        <v/>
      </c>
      <c r="F261" s="3">
        <f>IFERROR(VLOOKUP(A261,'Cadastro Geral Campistas'!$A:$R,9,0),"")</f>
        <v/>
      </c>
      <c r="G261" s="2">
        <f>IFERROR(VLOOKUP(A261,'Cadastro Geral Campistas'!$A:$R,3,0),"")</f>
        <v/>
      </c>
      <c r="H261" s="3">
        <f>IFERROR(VLOOKUP(A261,'Cadastro Geral Campistas'!$A:$R,8,0),"")</f>
        <v/>
      </c>
      <c r="I261" s="103">
        <f>IF(AND(IFERROR(VLOOKUP(A261,'Cadastro Geral Campistas'!$A:$R,18,0),0)&gt;0,COUNTIF($A$254:$A$269,IFERROR(VLOOKUP(A261,'Cadastro Geral Campistas'!$A:$R,18,0),0))&gt;0),"⚠️ CONFLITO! Cônjuge na mesma tribo: "&amp;IFERROR(VLOOKUP(IFERROR(VLOOKUP(A261,'Cadastro Geral Campistas'!$A:$R,18,0),0),'Cadastro Geral Campistas'!$A:$R,2,""),""),TRIM(IF(AND(IFERROR(VLOOKUP(A261,'Cadastro Geral Campistas'!$A:$R,10,0),"")&lt;&gt;"",LOWER(TRIM(IFERROR(VLOOKUP(A261,'Cadastro Geral Campistas'!$A:$R,10,0),"")))&lt;&gt;"não",LOWER(TRIM(IFERROR(VLOOKUP(A261,'Cadastro Geral Campistas'!$A:$R,10,0),"")))&lt;&gt;"nao",LOWER(TRIM(IFERROR(VLOOKUP(A261,'Cadastro Geral Campistas'!$A:$R,10,0),"")))&lt;&gt;"0"),IFERROR(VLOOKUP(A261,'Cadastro Geral Campistas'!$A:$R,10,0),"")&amp;IF(AND(IFERROR(VLOOKUP(A261,'Cadastro Geral Campistas'!$A:$R,15,0),"")&lt;&gt;"",LOWER(TRIM(IFERROR(VLOOKUP(A261,'Cadastro Geral Campistas'!$A:$R,15,0),"")))&lt;&gt;"não",LOWER(TRIM(IFERROR(VLOOKUP(A261,'Cadastro Geral Campistas'!$A:$R,15,0),"")))&lt;&gt;"nao",LOWER(TRIM(IFERROR(VLOOKUP(A261,'Cadastro Geral Campistas'!$A:$R,15,0),"")))&lt;&gt;"0")," | Alergia: "&amp;IFERROR(VLOOKUP(A261,'Cadastro Geral Campistas'!$A:$R,15,0),""),""),IF(AND(IFERROR(VLOOKUP(A261,'Cadastro Geral Campistas'!$A:$R,15,0),"")&lt;&gt;"",LOWER(TRIM(IFERROR(VLOOKUP(A261,'Cadastro Geral Campistas'!$A:$R,15,0),"")))&lt;&gt;"não",LOWER(TRIM(IFERROR(VLOOKUP(A261,'Cadastro Geral Campistas'!$A:$R,15,0),"")))&lt;&gt;"nao",LOWER(TRIM(IFERROR(VLOOKUP(A261,'Cadastro Geral Campistas'!$A:$R,15,0),"")))&lt;&gt;"0"),"Alergia: "&amp;IFERROR(VLOOKUP(A261,'Cadastro Geral Campistas'!$A:$R,15,0),""),""))))</f>
        <v/>
      </c>
      <c r="J261" s="56">
        <f>IFERROR(VLOOKUP(A261,'Cadastro Geral Campistas'!$A:$R,4,0),"")</f>
        <v/>
      </c>
    </row>
    <row r="262" ht="18" customHeight="1" s="121">
      <c r="A262" s="57" t="n">
        <v>13</v>
      </c>
      <c r="B262" s="7">
        <f>IFERROR(VLOOKUP(A262,'Cadastro Geral Campistas'!$A:$R,2,0),"")</f>
        <v/>
      </c>
      <c r="C262" s="6">
        <f>IFERROR(VLOOKUP(A262,'Cadastro Geral Campistas'!$A:$R,5,0),"")</f>
        <v/>
      </c>
      <c r="D262" s="6">
        <f>IFERROR(VLOOKUP(A262,'Cadastro Geral Campistas'!$A:$R,6,0),"")</f>
        <v/>
      </c>
      <c r="E262" s="6">
        <f>IFERROR(VLOOKUP(A262,'Cadastro Geral Campistas'!$A:$R,7,0),"")</f>
        <v/>
      </c>
      <c r="F262" s="7">
        <f>IFERROR(VLOOKUP(A262,'Cadastro Geral Campistas'!$A:$R,9,0),"")</f>
        <v/>
      </c>
      <c r="G262" s="6">
        <f>IFERROR(VLOOKUP(A262,'Cadastro Geral Campistas'!$A:$R,3,0),"")</f>
        <v/>
      </c>
      <c r="H262" s="7">
        <f>IFERROR(VLOOKUP(A262,'Cadastro Geral Campistas'!$A:$R,8,0),"")</f>
        <v/>
      </c>
      <c r="I262" s="101">
        <f>IF(AND(IFERROR(VLOOKUP(A262,'Cadastro Geral Campistas'!$A:$R,18,0),0)&gt;0,COUNTIF($A$254:$A$269,IFERROR(VLOOKUP(A262,'Cadastro Geral Campistas'!$A:$R,18,0),0))&gt;0),"⚠️ CONFLITO! Cônjuge na mesma tribo: "&amp;IFERROR(VLOOKUP(IFERROR(VLOOKUP(A262,'Cadastro Geral Campistas'!$A:$R,18,0),0),'Cadastro Geral Campistas'!$A:$R,2,""),""),TRIM(IF(AND(IFERROR(VLOOKUP(A262,'Cadastro Geral Campistas'!$A:$R,10,0),"")&lt;&gt;"",LOWER(TRIM(IFERROR(VLOOKUP(A262,'Cadastro Geral Campistas'!$A:$R,10,0),"")))&lt;&gt;"não",LOWER(TRIM(IFERROR(VLOOKUP(A262,'Cadastro Geral Campistas'!$A:$R,10,0),"")))&lt;&gt;"nao",LOWER(TRIM(IFERROR(VLOOKUP(A262,'Cadastro Geral Campistas'!$A:$R,10,0),"")))&lt;&gt;"0"),IFERROR(VLOOKUP(A262,'Cadastro Geral Campistas'!$A:$R,10,0),"")&amp;IF(AND(IFERROR(VLOOKUP(A262,'Cadastro Geral Campistas'!$A:$R,15,0),"")&lt;&gt;"",LOWER(TRIM(IFERROR(VLOOKUP(A262,'Cadastro Geral Campistas'!$A:$R,15,0),"")))&lt;&gt;"não",LOWER(TRIM(IFERROR(VLOOKUP(A262,'Cadastro Geral Campistas'!$A:$R,15,0),"")))&lt;&gt;"nao",LOWER(TRIM(IFERROR(VLOOKUP(A262,'Cadastro Geral Campistas'!$A:$R,15,0),"")))&lt;&gt;"0")," | Alergia: "&amp;IFERROR(VLOOKUP(A262,'Cadastro Geral Campistas'!$A:$R,15,0),""),""),IF(AND(IFERROR(VLOOKUP(A262,'Cadastro Geral Campistas'!$A:$R,15,0),"")&lt;&gt;"",LOWER(TRIM(IFERROR(VLOOKUP(A262,'Cadastro Geral Campistas'!$A:$R,15,0),"")))&lt;&gt;"não",LOWER(TRIM(IFERROR(VLOOKUP(A262,'Cadastro Geral Campistas'!$A:$R,15,0),"")))&lt;&gt;"nao",LOWER(TRIM(IFERROR(VLOOKUP(A262,'Cadastro Geral Campistas'!$A:$R,15,0),"")))&lt;&gt;"0"),"Alergia: "&amp;IFERROR(VLOOKUP(A262,'Cadastro Geral Campistas'!$A:$R,15,0),""),""))))</f>
        <v/>
      </c>
      <c r="J262" s="58">
        <f>IFERROR(VLOOKUP(A262,'Cadastro Geral Campistas'!$A:$R,4,0),"")</f>
        <v/>
      </c>
    </row>
    <row r="263" ht="18" customHeight="1" s="121">
      <c r="A263" s="280" t="n">
        <v>66</v>
      </c>
      <c r="B263" s="281">
        <f>IFERROR(VLOOKUP(A263,'Cadastro Geral Campistas'!$A:$R,2,0),"")</f>
        <v/>
      </c>
      <c r="C263" s="282">
        <f>IFERROR(VLOOKUP(A263,'Cadastro Geral Campistas'!$A:$R,5,0),"")</f>
        <v/>
      </c>
      <c r="D263" s="282">
        <f>IFERROR(VLOOKUP(A263,'Cadastro Geral Campistas'!$A:$R,6,0),"")</f>
        <v/>
      </c>
      <c r="E263" s="282">
        <f>IFERROR(VLOOKUP(A263,'Cadastro Geral Campistas'!$A:$R,7,0),"")</f>
        <v/>
      </c>
      <c r="F263" s="281">
        <f>IFERROR(VLOOKUP(A263,'Cadastro Geral Campistas'!$A:$R,9,0),"")</f>
        <v/>
      </c>
      <c r="G263" s="282">
        <f>IFERROR(VLOOKUP(A263,'Cadastro Geral Campistas'!$A:$R,3,0),"")</f>
        <v/>
      </c>
      <c r="H263" s="281">
        <f>IFERROR(VLOOKUP(A263,'Cadastro Geral Campistas'!$A:$R,8,0),"")</f>
        <v/>
      </c>
      <c r="I263" s="283">
        <f>IF(AND(IFERROR(VLOOKUP(A263,'Cadastro Geral Campistas'!$A:$R,18,0),0)&gt;0,COUNTIF($A$254:$A$269,IFERROR(VLOOKUP(A263,'Cadastro Geral Campistas'!$A:$R,18,0),0))&gt;0),"⚠️ CONFLITO! Cônjuge na mesma tribo: "&amp;IFERROR(VLOOKUP(IFERROR(VLOOKUP(A263,'Cadastro Geral Campistas'!$A:$R,18,0),0),'Cadastro Geral Campistas'!$A:$R,2,""),""),TRIM(IF(AND(IFERROR(VLOOKUP(A263,'Cadastro Geral Campistas'!$A:$R,10,0),"")&lt;&gt;"",LOWER(TRIM(IFERROR(VLOOKUP(A263,'Cadastro Geral Campistas'!$A:$R,10,0),"")))&lt;&gt;"não",LOWER(TRIM(IFERROR(VLOOKUP(A263,'Cadastro Geral Campistas'!$A:$R,10,0),"")))&lt;&gt;"nao",LOWER(TRIM(IFERROR(VLOOKUP(A263,'Cadastro Geral Campistas'!$A:$R,10,0),"")))&lt;&gt;"0"),IFERROR(VLOOKUP(A263,'Cadastro Geral Campistas'!$A:$R,10,0),"")&amp;IF(AND(IFERROR(VLOOKUP(A263,'Cadastro Geral Campistas'!$A:$R,15,0),"")&lt;&gt;"",LOWER(TRIM(IFERROR(VLOOKUP(A263,'Cadastro Geral Campistas'!$A:$R,15,0),"")))&lt;&gt;"não",LOWER(TRIM(IFERROR(VLOOKUP(A263,'Cadastro Geral Campistas'!$A:$R,15,0),"")))&lt;&gt;"nao",LOWER(TRIM(IFERROR(VLOOKUP(A263,'Cadastro Geral Campistas'!$A:$R,15,0),"")))&lt;&gt;"0")," | Alergia: "&amp;IFERROR(VLOOKUP(A263,'Cadastro Geral Campistas'!$A:$R,15,0),""),""),IF(AND(IFERROR(VLOOKUP(A263,'Cadastro Geral Campistas'!$A:$R,15,0),"")&lt;&gt;"",LOWER(TRIM(IFERROR(VLOOKUP(A263,'Cadastro Geral Campistas'!$A:$R,15,0),"")))&lt;&gt;"não",LOWER(TRIM(IFERROR(VLOOKUP(A263,'Cadastro Geral Campistas'!$A:$R,15,0),"")))&lt;&gt;"nao",LOWER(TRIM(IFERROR(VLOOKUP(A263,'Cadastro Geral Campistas'!$A:$R,15,0),"")))&lt;&gt;"0"),"Alergia: "&amp;IFERROR(VLOOKUP(A263,'Cadastro Geral Campistas'!$A:$R,15,0),""),""))))</f>
        <v/>
      </c>
      <c r="J263" s="284">
        <f>IFERROR(VLOOKUP(A263,'Cadastro Geral Campistas'!$A:$R,4,0),"")</f>
        <v/>
      </c>
    </row>
    <row r="264" ht="18" customHeight="1" s="121">
      <c r="A264" s="57" t="n">
        <v>67</v>
      </c>
      <c r="B264" s="7">
        <f>IFERROR(VLOOKUP(A264,'Cadastro Geral Campistas'!$A:$R,2,0),"")</f>
        <v/>
      </c>
      <c r="C264" s="6">
        <f>IFERROR(VLOOKUP(A264,'Cadastro Geral Campistas'!$A:$R,5,0),"")</f>
        <v/>
      </c>
      <c r="D264" s="6">
        <f>IFERROR(VLOOKUP(A264,'Cadastro Geral Campistas'!$A:$R,6,0),"")</f>
        <v/>
      </c>
      <c r="E264" s="6">
        <f>IFERROR(VLOOKUP(A264,'Cadastro Geral Campistas'!$A:$R,7,0),"")</f>
        <v/>
      </c>
      <c r="F264" s="7">
        <f>IFERROR(VLOOKUP(A264,'Cadastro Geral Campistas'!$A:$R,9,0),"")</f>
        <v/>
      </c>
      <c r="G264" s="6">
        <f>IFERROR(VLOOKUP(A264,'Cadastro Geral Campistas'!$A:$R,3,0),"")</f>
        <v/>
      </c>
      <c r="H264" s="7">
        <f>IFERROR(VLOOKUP(A264,'Cadastro Geral Campistas'!$A:$R,8,0),"")</f>
        <v/>
      </c>
      <c r="I264" s="101">
        <f>IF(AND(IFERROR(VLOOKUP(A264,'Cadastro Geral Campistas'!$A:$R,18,0),0)&gt;0,COUNTIF($A$254:$A$269,IFERROR(VLOOKUP(A264,'Cadastro Geral Campistas'!$A:$R,18,0),0))&gt;0),"⚠️ CONFLITO! Cônjuge na mesma tribo: "&amp;IFERROR(VLOOKUP(IFERROR(VLOOKUP(A264,'Cadastro Geral Campistas'!$A:$R,18,0),0),'Cadastro Geral Campistas'!$A:$R,2,""),""),TRIM(IF(AND(IFERROR(VLOOKUP(A264,'Cadastro Geral Campistas'!$A:$R,10,0),"")&lt;&gt;"",LOWER(TRIM(IFERROR(VLOOKUP(A264,'Cadastro Geral Campistas'!$A:$R,10,0),"")))&lt;&gt;"não",LOWER(TRIM(IFERROR(VLOOKUP(A264,'Cadastro Geral Campistas'!$A:$R,10,0),"")))&lt;&gt;"nao",LOWER(TRIM(IFERROR(VLOOKUP(A264,'Cadastro Geral Campistas'!$A:$R,10,0),"")))&lt;&gt;"0"),IFERROR(VLOOKUP(A264,'Cadastro Geral Campistas'!$A:$R,10,0),"")&amp;IF(AND(IFERROR(VLOOKUP(A264,'Cadastro Geral Campistas'!$A:$R,15,0),"")&lt;&gt;"",LOWER(TRIM(IFERROR(VLOOKUP(A264,'Cadastro Geral Campistas'!$A:$R,15,0),"")))&lt;&gt;"não",LOWER(TRIM(IFERROR(VLOOKUP(A264,'Cadastro Geral Campistas'!$A:$R,15,0),"")))&lt;&gt;"nao",LOWER(TRIM(IFERROR(VLOOKUP(A264,'Cadastro Geral Campistas'!$A:$R,15,0),"")))&lt;&gt;"0")," | Alergia: "&amp;IFERROR(VLOOKUP(A264,'Cadastro Geral Campistas'!$A:$R,15,0),""),""),IF(AND(IFERROR(VLOOKUP(A264,'Cadastro Geral Campistas'!$A:$R,15,0),"")&lt;&gt;"",LOWER(TRIM(IFERROR(VLOOKUP(A264,'Cadastro Geral Campistas'!$A:$R,15,0),"")))&lt;&gt;"não",LOWER(TRIM(IFERROR(VLOOKUP(A264,'Cadastro Geral Campistas'!$A:$R,15,0),"")))&lt;&gt;"nao",LOWER(TRIM(IFERROR(VLOOKUP(A264,'Cadastro Geral Campistas'!$A:$R,15,0),"")))&lt;&gt;"0"),"Alergia: "&amp;IFERROR(VLOOKUP(A264,'Cadastro Geral Campistas'!$A:$R,15,0),""),""))))</f>
        <v/>
      </c>
      <c r="J264" s="58">
        <f>IFERROR(VLOOKUP(A264,'Cadastro Geral Campistas'!$A:$R,4,0),"")</f>
        <v/>
      </c>
    </row>
    <row r="265" ht="18" customHeight="1" s="121">
      <c r="A265" s="280" t="n">
        <v>77</v>
      </c>
      <c r="B265" s="281">
        <f>IFERROR(VLOOKUP(A265,'Cadastro Geral Campistas'!$A:$R,2,0),"")</f>
        <v/>
      </c>
      <c r="C265" s="282">
        <f>IFERROR(VLOOKUP(A265,'Cadastro Geral Campistas'!$A:$R,5,0),"")</f>
        <v/>
      </c>
      <c r="D265" s="282">
        <f>IFERROR(VLOOKUP(A265,'Cadastro Geral Campistas'!$A:$R,6,0),"")</f>
        <v/>
      </c>
      <c r="E265" s="282">
        <f>IFERROR(VLOOKUP(A265,'Cadastro Geral Campistas'!$A:$R,7,0),"")</f>
        <v/>
      </c>
      <c r="F265" s="281">
        <f>IFERROR(VLOOKUP(A265,'Cadastro Geral Campistas'!$A:$R,9,0),"")</f>
        <v/>
      </c>
      <c r="G265" s="282">
        <f>IFERROR(VLOOKUP(A265,'Cadastro Geral Campistas'!$A:$R,3,0),"")</f>
        <v/>
      </c>
      <c r="H265" s="281">
        <f>IFERROR(VLOOKUP(A265,'Cadastro Geral Campistas'!$A:$R,8,0),"")</f>
        <v/>
      </c>
      <c r="I265" s="283">
        <f>IF(AND(IFERROR(VLOOKUP(A265,'Cadastro Geral Campistas'!$A:$R,18,0),0)&gt;0,COUNTIF($A$254:$A$269,IFERROR(VLOOKUP(A265,'Cadastro Geral Campistas'!$A:$R,18,0),0))&gt;0),"⚠️ CONFLITO! Cônjuge na mesma tribo: "&amp;IFERROR(VLOOKUP(IFERROR(VLOOKUP(A265,'Cadastro Geral Campistas'!$A:$R,18,0),0),'Cadastro Geral Campistas'!$A:$R,2,""),""),TRIM(IF(AND(IFERROR(VLOOKUP(A265,'Cadastro Geral Campistas'!$A:$R,10,0),"")&lt;&gt;"",LOWER(TRIM(IFERROR(VLOOKUP(A265,'Cadastro Geral Campistas'!$A:$R,10,0),"")))&lt;&gt;"não",LOWER(TRIM(IFERROR(VLOOKUP(A265,'Cadastro Geral Campistas'!$A:$R,10,0),"")))&lt;&gt;"nao",LOWER(TRIM(IFERROR(VLOOKUP(A265,'Cadastro Geral Campistas'!$A:$R,10,0),"")))&lt;&gt;"0"),IFERROR(VLOOKUP(A265,'Cadastro Geral Campistas'!$A:$R,10,0),"")&amp;IF(AND(IFERROR(VLOOKUP(A265,'Cadastro Geral Campistas'!$A:$R,15,0),"")&lt;&gt;"",LOWER(TRIM(IFERROR(VLOOKUP(A265,'Cadastro Geral Campistas'!$A:$R,15,0),"")))&lt;&gt;"não",LOWER(TRIM(IFERROR(VLOOKUP(A265,'Cadastro Geral Campistas'!$A:$R,15,0),"")))&lt;&gt;"nao",LOWER(TRIM(IFERROR(VLOOKUP(A265,'Cadastro Geral Campistas'!$A:$R,15,0),"")))&lt;&gt;"0")," | Alergia: "&amp;IFERROR(VLOOKUP(A265,'Cadastro Geral Campistas'!$A:$R,15,0),""),""),IF(AND(IFERROR(VLOOKUP(A265,'Cadastro Geral Campistas'!$A:$R,15,0),"")&lt;&gt;"",LOWER(TRIM(IFERROR(VLOOKUP(A265,'Cadastro Geral Campistas'!$A:$R,15,0),"")))&lt;&gt;"não",LOWER(TRIM(IFERROR(VLOOKUP(A265,'Cadastro Geral Campistas'!$A:$R,15,0),"")))&lt;&gt;"nao",LOWER(TRIM(IFERROR(VLOOKUP(A265,'Cadastro Geral Campistas'!$A:$R,15,0),"")))&lt;&gt;"0"),"Alergia: "&amp;IFERROR(VLOOKUP(A265,'Cadastro Geral Campistas'!$A:$R,15,0),""),""))))</f>
        <v/>
      </c>
      <c r="J265" s="284">
        <f>IFERROR(VLOOKUP(A265,'Cadastro Geral Campistas'!$A:$R,4,0),"")</f>
        <v/>
      </c>
    </row>
    <row r="266" ht="18" customHeight="1" s="121">
      <c r="A266" s="57" t="n">
        <v>89</v>
      </c>
      <c r="B266" s="7">
        <f>IFERROR(VLOOKUP(A266,'Cadastro Geral Campistas'!$A:$R,2,0),"")</f>
        <v/>
      </c>
      <c r="C266" s="6">
        <f>IFERROR(VLOOKUP(A266,'Cadastro Geral Campistas'!$A:$R,5,0),"")</f>
        <v/>
      </c>
      <c r="D266" s="6">
        <f>IFERROR(VLOOKUP(A266,'Cadastro Geral Campistas'!$A:$R,6,0),"")</f>
        <v/>
      </c>
      <c r="E266" s="6">
        <f>IFERROR(VLOOKUP(A266,'Cadastro Geral Campistas'!$A:$R,7,0),"")</f>
        <v/>
      </c>
      <c r="F266" s="7">
        <f>IFERROR(VLOOKUP(A266,'Cadastro Geral Campistas'!$A:$R,9,0),"")</f>
        <v/>
      </c>
      <c r="G266" s="6">
        <f>IFERROR(VLOOKUP(A266,'Cadastro Geral Campistas'!$A:$R,3,0),"")</f>
        <v/>
      </c>
      <c r="H266" s="7">
        <f>IFERROR(VLOOKUP(A266,'Cadastro Geral Campistas'!$A:$R,8,0),"")</f>
        <v/>
      </c>
      <c r="I266" s="101">
        <f>IF(AND(IFERROR(VLOOKUP(A266,'Cadastro Geral Campistas'!$A:$R,18,0),0)&gt;0,COUNTIF($A$254:$A$269,IFERROR(VLOOKUP(A266,'Cadastro Geral Campistas'!$A:$R,18,0),0))&gt;0),"⚠️ CONFLITO! Cônjuge na mesma tribo: "&amp;IFERROR(VLOOKUP(IFERROR(VLOOKUP(A266,'Cadastro Geral Campistas'!$A:$R,18,0),0),'Cadastro Geral Campistas'!$A:$R,2,""),""),TRIM(IF(AND(IFERROR(VLOOKUP(A266,'Cadastro Geral Campistas'!$A:$R,10,0),"")&lt;&gt;"",LOWER(TRIM(IFERROR(VLOOKUP(A266,'Cadastro Geral Campistas'!$A:$R,10,0),"")))&lt;&gt;"não",LOWER(TRIM(IFERROR(VLOOKUP(A266,'Cadastro Geral Campistas'!$A:$R,10,0),"")))&lt;&gt;"nao",LOWER(TRIM(IFERROR(VLOOKUP(A266,'Cadastro Geral Campistas'!$A:$R,10,0),"")))&lt;&gt;"0"),IFERROR(VLOOKUP(A266,'Cadastro Geral Campistas'!$A:$R,10,0),"")&amp;IF(AND(IFERROR(VLOOKUP(A266,'Cadastro Geral Campistas'!$A:$R,15,0),"")&lt;&gt;"",LOWER(TRIM(IFERROR(VLOOKUP(A266,'Cadastro Geral Campistas'!$A:$R,15,0),"")))&lt;&gt;"não",LOWER(TRIM(IFERROR(VLOOKUP(A266,'Cadastro Geral Campistas'!$A:$R,15,0),"")))&lt;&gt;"nao",LOWER(TRIM(IFERROR(VLOOKUP(A266,'Cadastro Geral Campistas'!$A:$R,15,0),"")))&lt;&gt;"0")," | Alergia: "&amp;IFERROR(VLOOKUP(A266,'Cadastro Geral Campistas'!$A:$R,15,0),""),""),IF(AND(IFERROR(VLOOKUP(A266,'Cadastro Geral Campistas'!$A:$R,15,0),"")&lt;&gt;"",LOWER(TRIM(IFERROR(VLOOKUP(A266,'Cadastro Geral Campistas'!$A:$R,15,0),"")))&lt;&gt;"não",LOWER(TRIM(IFERROR(VLOOKUP(A266,'Cadastro Geral Campistas'!$A:$R,15,0),"")))&lt;&gt;"nao",LOWER(TRIM(IFERROR(VLOOKUP(A266,'Cadastro Geral Campistas'!$A:$R,15,0),"")))&lt;&gt;"0"),"Alergia: "&amp;IFERROR(VLOOKUP(A266,'Cadastro Geral Campistas'!$A:$R,15,0),""),""))))</f>
        <v/>
      </c>
      <c r="J266" s="58">
        <f>IFERROR(VLOOKUP(A266,'Cadastro Geral Campistas'!$A:$R,4,0),"")</f>
        <v/>
      </c>
    </row>
    <row r="267" ht="18" customHeight="1" s="121">
      <c r="A267" s="280" t="n">
        <v>87</v>
      </c>
      <c r="B267" s="281">
        <f>IFERROR(VLOOKUP(A267,'Cadastro Geral Campistas'!$A:$R,2,0),"")</f>
        <v/>
      </c>
      <c r="C267" s="282">
        <f>IFERROR(VLOOKUP(A267,'Cadastro Geral Campistas'!$A:$R,5,0),"")</f>
        <v/>
      </c>
      <c r="D267" s="282">
        <f>IFERROR(VLOOKUP(A267,'Cadastro Geral Campistas'!$A:$R,6,0),"")</f>
        <v/>
      </c>
      <c r="E267" s="282">
        <f>IFERROR(VLOOKUP(A267,'Cadastro Geral Campistas'!$A:$R,7,0),"")</f>
        <v/>
      </c>
      <c r="F267" s="281">
        <f>IFERROR(VLOOKUP(A267,'Cadastro Geral Campistas'!$A:$R,9,0),"")</f>
        <v/>
      </c>
      <c r="G267" s="282">
        <f>IFERROR(VLOOKUP(A267,'Cadastro Geral Campistas'!$A:$R,3,0),"")</f>
        <v/>
      </c>
      <c r="H267" s="281">
        <f>IFERROR(VLOOKUP(A267,'Cadastro Geral Campistas'!$A:$R,8,0),"")</f>
        <v/>
      </c>
      <c r="I267" s="283">
        <f>IF(AND(IFERROR(VLOOKUP(A267,'Cadastro Geral Campistas'!$A:$R,18,0),0)&gt;0,COUNTIF($A$254:$A$269,IFERROR(VLOOKUP(A267,'Cadastro Geral Campistas'!$A:$R,18,0),0))&gt;0),"⚠️ CONFLITO! Cônjuge na mesma tribo: "&amp;IFERROR(VLOOKUP(IFERROR(VLOOKUP(A267,'Cadastro Geral Campistas'!$A:$R,18,0),0),'Cadastro Geral Campistas'!$A:$R,2,""),""),TRIM(IF(AND(IFERROR(VLOOKUP(A267,'Cadastro Geral Campistas'!$A:$R,10,0),"")&lt;&gt;"",LOWER(TRIM(IFERROR(VLOOKUP(A267,'Cadastro Geral Campistas'!$A:$R,10,0),"")))&lt;&gt;"não",LOWER(TRIM(IFERROR(VLOOKUP(A267,'Cadastro Geral Campistas'!$A:$R,10,0),"")))&lt;&gt;"nao",LOWER(TRIM(IFERROR(VLOOKUP(A267,'Cadastro Geral Campistas'!$A:$R,10,0),"")))&lt;&gt;"0"),IFERROR(VLOOKUP(A267,'Cadastro Geral Campistas'!$A:$R,10,0),"")&amp;IF(AND(IFERROR(VLOOKUP(A267,'Cadastro Geral Campistas'!$A:$R,15,0),"")&lt;&gt;"",LOWER(TRIM(IFERROR(VLOOKUP(A267,'Cadastro Geral Campistas'!$A:$R,15,0),"")))&lt;&gt;"não",LOWER(TRIM(IFERROR(VLOOKUP(A267,'Cadastro Geral Campistas'!$A:$R,15,0),"")))&lt;&gt;"nao",LOWER(TRIM(IFERROR(VLOOKUP(A267,'Cadastro Geral Campistas'!$A:$R,15,0),"")))&lt;&gt;"0")," | Alergia: "&amp;IFERROR(VLOOKUP(A267,'Cadastro Geral Campistas'!$A:$R,15,0),""),""),IF(AND(IFERROR(VLOOKUP(A267,'Cadastro Geral Campistas'!$A:$R,15,0),"")&lt;&gt;"",LOWER(TRIM(IFERROR(VLOOKUP(A267,'Cadastro Geral Campistas'!$A:$R,15,0),"")))&lt;&gt;"não",LOWER(TRIM(IFERROR(VLOOKUP(A267,'Cadastro Geral Campistas'!$A:$R,15,0),"")))&lt;&gt;"nao",LOWER(TRIM(IFERROR(VLOOKUP(A267,'Cadastro Geral Campistas'!$A:$R,15,0),"")))&lt;&gt;"0"),"Alergia: "&amp;IFERROR(VLOOKUP(A267,'Cadastro Geral Campistas'!$A:$R,15,0),""),""))))</f>
        <v/>
      </c>
      <c r="J267" s="284">
        <f>IFERROR(VLOOKUP(A267,'Cadastro Geral Campistas'!$A:$R,4,0),"")</f>
        <v/>
      </c>
    </row>
    <row r="268" ht="18" customHeight="1" s="121">
      <c r="A268" s="57" t="n">
        <v>135</v>
      </c>
      <c r="B268" s="7">
        <f>IFERROR(VLOOKUP(A268,'Cadastro Geral Campistas'!$A:$R,2,0),"")</f>
        <v/>
      </c>
      <c r="C268" s="6">
        <f>IFERROR(VLOOKUP(A268,'Cadastro Geral Campistas'!$A:$R,5,0),"")</f>
        <v/>
      </c>
      <c r="D268" s="6">
        <f>IFERROR(VLOOKUP(A268,'Cadastro Geral Campistas'!$A:$R,6,0),"")</f>
        <v/>
      </c>
      <c r="E268" s="6">
        <f>IFERROR(VLOOKUP(A268,'Cadastro Geral Campistas'!$A:$R,7,0),"")</f>
        <v/>
      </c>
      <c r="F268" s="7">
        <f>IFERROR(VLOOKUP(A268,'Cadastro Geral Campistas'!$A:$R,9,0),"")</f>
        <v/>
      </c>
      <c r="G268" s="6">
        <f>IFERROR(VLOOKUP(A268,'Cadastro Geral Campistas'!$A:$R,3,0),"")</f>
        <v/>
      </c>
      <c r="H268" s="7">
        <f>IFERROR(VLOOKUP(A268,'Cadastro Geral Campistas'!$A:$R,8,0),"")</f>
        <v/>
      </c>
      <c r="I268" s="101">
        <f>IF(AND(IFERROR(VLOOKUP(A268,'Cadastro Geral Campistas'!$A:$R,18,0),0)&gt;0,COUNTIF($A$254:$A$269,IFERROR(VLOOKUP(A268,'Cadastro Geral Campistas'!$A:$R,18,0),0))&gt;0),"⚠️ CONFLITO! Cônjuge na mesma tribo: "&amp;IFERROR(VLOOKUP(IFERROR(VLOOKUP(A268,'Cadastro Geral Campistas'!$A:$R,18,0),0),'Cadastro Geral Campistas'!$A:$R,2,""),""),TRIM(IF(AND(IFERROR(VLOOKUP(A268,'Cadastro Geral Campistas'!$A:$R,10,0),"")&lt;&gt;"",LOWER(TRIM(IFERROR(VLOOKUP(A268,'Cadastro Geral Campistas'!$A:$R,10,0),"")))&lt;&gt;"não",LOWER(TRIM(IFERROR(VLOOKUP(A268,'Cadastro Geral Campistas'!$A:$R,10,0),"")))&lt;&gt;"nao",LOWER(TRIM(IFERROR(VLOOKUP(A268,'Cadastro Geral Campistas'!$A:$R,10,0),"")))&lt;&gt;"0"),IFERROR(VLOOKUP(A268,'Cadastro Geral Campistas'!$A:$R,10,0),"")&amp;IF(AND(IFERROR(VLOOKUP(A268,'Cadastro Geral Campistas'!$A:$R,15,0),"")&lt;&gt;"",LOWER(TRIM(IFERROR(VLOOKUP(A268,'Cadastro Geral Campistas'!$A:$R,15,0),"")))&lt;&gt;"não",LOWER(TRIM(IFERROR(VLOOKUP(A268,'Cadastro Geral Campistas'!$A:$R,15,0),"")))&lt;&gt;"nao",LOWER(TRIM(IFERROR(VLOOKUP(A268,'Cadastro Geral Campistas'!$A:$R,15,0),"")))&lt;&gt;"0")," | Alergia: "&amp;IFERROR(VLOOKUP(A268,'Cadastro Geral Campistas'!$A:$R,15,0),""),""),IF(AND(IFERROR(VLOOKUP(A268,'Cadastro Geral Campistas'!$A:$R,15,0),"")&lt;&gt;"",LOWER(TRIM(IFERROR(VLOOKUP(A268,'Cadastro Geral Campistas'!$A:$R,15,0),"")))&lt;&gt;"não",LOWER(TRIM(IFERROR(VLOOKUP(A268,'Cadastro Geral Campistas'!$A:$R,15,0),"")))&lt;&gt;"nao",LOWER(TRIM(IFERROR(VLOOKUP(A268,'Cadastro Geral Campistas'!$A:$R,15,0),"")))&lt;&gt;"0"),"Alergia: "&amp;IFERROR(VLOOKUP(A268,'Cadastro Geral Campistas'!$A:$R,15,0),""),""))))</f>
        <v/>
      </c>
      <c r="J268" s="58">
        <f>IFERROR(VLOOKUP(A268,'Cadastro Geral Campistas'!$A:$R,4,0),"")</f>
        <v/>
      </c>
    </row>
    <row r="269" ht="18" customHeight="1" s="121">
      <c r="A269" s="280" t="n">
        <v>143</v>
      </c>
      <c r="B269" s="281">
        <f>IFERROR(VLOOKUP(A269,'Cadastro Geral Campistas'!$A:$R,2,0),"")</f>
        <v/>
      </c>
      <c r="C269" s="282">
        <f>IFERROR(VLOOKUP(A269,'Cadastro Geral Campistas'!$A:$R,5,0),"")</f>
        <v/>
      </c>
      <c r="D269" s="282">
        <f>IFERROR(VLOOKUP(A269,'Cadastro Geral Campistas'!$A:$R,6,0),"")</f>
        <v/>
      </c>
      <c r="E269" s="282">
        <f>IFERROR(VLOOKUP(A269,'Cadastro Geral Campistas'!$A:$R,7,0),"")</f>
        <v/>
      </c>
      <c r="F269" s="281">
        <f>IFERROR(VLOOKUP(A269,'Cadastro Geral Campistas'!$A:$R,9,0),"")</f>
        <v/>
      </c>
      <c r="G269" s="282">
        <f>IFERROR(VLOOKUP(A269,'Cadastro Geral Campistas'!$A:$R,3,0),"")</f>
        <v/>
      </c>
      <c r="H269" s="281">
        <f>IFERROR(VLOOKUP(A269,'Cadastro Geral Campistas'!$A:$R,8,0),"")</f>
        <v/>
      </c>
      <c r="I269" s="283">
        <f>IF(AND(IFERROR(VLOOKUP(A269,'Cadastro Geral Campistas'!$A:$R,18,0),0)&gt;0,COUNTIF($A$254:$A$269,IFERROR(VLOOKUP(A269,'Cadastro Geral Campistas'!$A:$R,18,0),0))&gt;0),"⚠️ CONFLITO! Cônjuge na mesma tribo: "&amp;IFERROR(VLOOKUP(IFERROR(VLOOKUP(A269,'Cadastro Geral Campistas'!$A:$R,18,0),0),'Cadastro Geral Campistas'!$A:$R,2,""),""),TRIM(IF(AND(IFERROR(VLOOKUP(A269,'Cadastro Geral Campistas'!$A:$R,10,0),"")&lt;&gt;"",LOWER(TRIM(IFERROR(VLOOKUP(A269,'Cadastro Geral Campistas'!$A:$R,10,0),"")))&lt;&gt;"não",LOWER(TRIM(IFERROR(VLOOKUP(A269,'Cadastro Geral Campistas'!$A:$R,10,0),"")))&lt;&gt;"nao",LOWER(TRIM(IFERROR(VLOOKUP(A269,'Cadastro Geral Campistas'!$A:$R,10,0),"")))&lt;&gt;"0"),IFERROR(VLOOKUP(A269,'Cadastro Geral Campistas'!$A:$R,10,0),"")&amp;IF(AND(IFERROR(VLOOKUP(A269,'Cadastro Geral Campistas'!$A:$R,15,0),"")&lt;&gt;"",LOWER(TRIM(IFERROR(VLOOKUP(A269,'Cadastro Geral Campistas'!$A:$R,15,0),"")))&lt;&gt;"não",LOWER(TRIM(IFERROR(VLOOKUP(A269,'Cadastro Geral Campistas'!$A:$R,15,0),"")))&lt;&gt;"nao",LOWER(TRIM(IFERROR(VLOOKUP(A269,'Cadastro Geral Campistas'!$A:$R,15,0),"")))&lt;&gt;"0")," | Alergia: "&amp;IFERROR(VLOOKUP(A269,'Cadastro Geral Campistas'!$A:$R,15,0),""),""),IF(AND(IFERROR(VLOOKUP(A269,'Cadastro Geral Campistas'!$A:$R,15,0),"")&lt;&gt;"",LOWER(TRIM(IFERROR(VLOOKUP(A269,'Cadastro Geral Campistas'!$A:$R,15,0),"")))&lt;&gt;"não",LOWER(TRIM(IFERROR(VLOOKUP(A269,'Cadastro Geral Campistas'!$A:$R,15,0),"")))&lt;&gt;"nao",LOWER(TRIM(IFERROR(VLOOKUP(A269,'Cadastro Geral Campistas'!$A:$R,15,0),"")))&lt;&gt;"0"),"Alergia: "&amp;IFERROR(VLOOKUP(A269,'Cadastro Geral Campistas'!$A:$R,15,0),""),""))))</f>
        <v/>
      </c>
      <c r="J269" s="284">
        <f>IFERROR(VLOOKUP(A269,'Cadastro Geral Campistas'!$A:$R,4,0),"")</f>
        <v/>
      </c>
    </row>
    <row r="270">
      <c r="A270" s="61" t="inlineStr">
        <is>
          <t>MÉDIA&gt;&gt;&gt;&gt;&gt;&gt;&gt;&gt;&gt;</t>
        </is>
      </c>
      <c r="B270" s="20" t="n"/>
      <c r="C270" s="20">
        <f>IFERROR(ROUND(AVERAGE(C254:C269),1),"")</f>
        <v/>
      </c>
      <c r="D270" s="20" t="n"/>
      <c r="E270" s="20">
        <f>IFERROR(ROUND(AVERAGE(E254:E269),1),"")</f>
        <v/>
      </c>
      <c r="F270" s="116" t="n"/>
      <c r="G270" s="202" t="n"/>
      <c r="H270" s="202" t="n"/>
      <c r="I270" s="126">
        <f>COUNTIF(J254:J269,"F")&amp;"  F    |    "&amp;COUNTIF(J254:J269,"M")&amp;"  M"</f>
        <v/>
      </c>
      <c r="J270" s="127" t="n"/>
    </row>
    <row r="271">
      <c r="A271" s="118" t="n"/>
      <c r="B271" s="119" t="n"/>
      <c r="C271" s="119" t="n"/>
      <c r="D271" s="119" t="n"/>
      <c r="E271" s="119" t="n"/>
      <c r="F271" s="119" t="n"/>
      <c r="G271" s="119" t="n"/>
      <c r="H271" s="119" t="n"/>
      <c r="I271" s="138" t="inlineStr">
        <is>
          <t>Sequências das dinâmicas:</t>
        </is>
      </c>
      <c r="J271" s="131" t="n"/>
    </row>
    <row r="272">
      <c r="A272" s="120" t="n"/>
      <c r="I272" s="124" t="inlineStr">
        <is>
          <t>1 - Metrô</t>
        </is>
      </c>
      <c r="J272" s="125" t="n"/>
    </row>
    <row r="273">
      <c r="A273" s="120" t="n"/>
      <c r="I273" s="124" t="inlineStr">
        <is>
          <t>2 - Paredão</t>
        </is>
      </c>
      <c r="J273" s="125" t="n"/>
    </row>
    <row r="274">
      <c r="A274" s="120" t="n"/>
      <c r="I274" s="124" t="inlineStr">
        <is>
          <t>3 - Casa do Pai</t>
        </is>
      </c>
      <c r="J274" s="125" t="n"/>
    </row>
    <row r="275">
      <c r="A275" s="120" t="n"/>
      <c r="I275" s="124" t="inlineStr">
        <is>
          <t>4 - Espelho</t>
        </is>
      </c>
      <c r="J275" s="125" t="n"/>
    </row>
    <row r="276">
      <c r="A276" s="120" t="n"/>
      <c r="I276" s="124" t="inlineStr">
        <is>
          <t>5 - Balanço</t>
        </is>
      </c>
      <c r="J276" s="125" t="n"/>
    </row>
    <row r="277">
      <c r="A277" s="120" t="n"/>
      <c r="I277" s="124" t="inlineStr">
        <is>
          <t>6 - Casa de Maria</t>
        </is>
      </c>
      <c r="J277" s="125" t="n"/>
    </row>
    <row r="278">
      <c r="A278" s="120" t="n"/>
      <c r="I278" s="124" t="inlineStr">
        <is>
          <t>7 - Salto da Fé</t>
        </is>
      </c>
      <c r="J278" s="125" t="n"/>
    </row>
    <row r="279">
      <c r="A279" s="120" t="n"/>
      <c r="I279" s="124" t="inlineStr">
        <is>
          <t>8 - Cabana</t>
        </is>
      </c>
      <c r="J279" s="125" t="n"/>
    </row>
    <row r="280" ht="14.7" customHeight="1" s="121" thickBot="1">
      <c r="A280" s="122" t="n"/>
      <c r="B280" s="123" t="n"/>
      <c r="C280" s="123" t="n"/>
      <c r="D280" s="123" t="n"/>
      <c r="E280" s="123" t="n"/>
      <c r="F280" s="123" t="n"/>
      <c r="G280" s="123" t="n"/>
      <c r="H280" s="123" t="n"/>
      <c r="I280" s="132" t="inlineStr">
        <is>
          <t>9 - Casa da Misericórdia</t>
        </is>
      </c>
      <c r="J280" s="133" t="n"/>
    </row>
    <row r="281" ht="28" customHeight="1" s="121">
      <c r="A281" s="173" t="inlineStr">
        <is>
          <t xml:space="preserve">Cor: Cinza </t>
        </is>
      </c>
      <c r="B281" s="136" t="n"/>
      <c r="C281" s="136" t="n"/>
      <c r="D281" s="136" t="n"/>
      <c r="E281" s="157" t="inlineStr">
        <is>
          <t>Tribo EFRAIM</t>
        </is>
      </c>
      <c r="F281" s="136" t="n"/>
      <c r="G281" s="136" t="n"/>
      <c r="H281" s="136" t="n"/>
      <c r="I281" s="136" t="n"/>
      <c r="J281" s="144" t="n"/>
    </row>
    <row r="282">
      <c r="A282" s="149" t="inlineStr">
        <is>
          <t>Anjos:</t>
        </is>
      </c>
      <c r="G282" s="140" t="inlineStr">
        <is>
          <t>Anjo Guardião:</t>
        </is>
      </c>
      <c r="J282" s="125" t="n"/>
    </row>
    <row r="283">
      <c r="A283" s="120" t="n"/>
      <c r="J283" s="125" t="n"/>
    </row>
    <row r="284">
      <c r="A284" s="120" t="n"/>
      <c r="J284" s="125" t="n"/>
    </row>
    <row r="285">
      <c r="A285" s="168" t="inlineStr">
        <is>
          <t>Thyago Alex</t>
        </is>
      </c>
      <c r="D285" s="128" t="n"/>
      <c r="G285" s="163" t="inlineStr">
        <is>
          <t>Daniela</t>
        </is>
      </c>
      <c r="J285" s="125" t="n"/>
    </row>
    <row r="286">
      <c r="A286" s="168" t="inlineStr">
        <is>
          <t>Fabricia</t>
        </is>
      </c>
      <c r="G286" s="145" t="n"/>
      <c r="J286" s="125" t="n"/>
    </row>
    <row r="287">
      <c r="A287" s="162" t="n"/>
      <c r="B287" s="129" t="n"/>
      <c r="C287" s="129" t="n"/>
      <c r="D287" s="129" t="n"/>
      <c r="E287" s="129" t="n"/>
      <c r="F287" s="129" t="n"/>
      <c r="G287" s="129" t="n"/>
      <c r="H287" s="129" t="n"/>
      <c r="I287" s="129" t="n"/>
      <c r="J287" s="146" t="n"/>
    </row>
    <row r="288">
      <c r="A288" s="95" t="inlineStr">
        <is>
          <t>Ficha ✏️</t>
        </is>
      </c>
      <c r="B288" s="42" t="inlineStr">
        <is>
          <t>Nome</t>
        </is>
      </c>
      <c r="C288" s="42" t="inlineStr">
        <is>
          <t>Peso</t>
        </is>
      </c>
      <c r="D288" s="42" t="inlineStr">
        <is>
          <t>Alt</t>
        </is>
      </c>
      <c r="E288" s="42" t="inlineStr">
        <is>
          <t>Idade</t>
        </is>
      </c>
      <c r="F288" s="42" t="inlineStr">
        <is>
          <t>Cidade</t>
        </is>
      </c>
      <c r="G288" s="42" t="inlineStr">
        <is>
          <t>Camiseta</t>
        </is>
      </c>
      <c r="H288" s="42" t="inlineStr">
        <is>
          <t>Celular</t>
        </is>
      </c>
      <c r="I288" s="42" t="inlineStr">
        <is>
          <t>⚠️ Alerta / Observações</t>
        </is>
      </c>
      <c r="J288" s="96" t="inlineStr">
        <is>
          <t>Sexo</t>
        </is>
      </c>
    </row>
    <row r="289" ht="18" customHeight="1" s="121">
      <c r="A289" s="55" t="n">
        <v>7</v>
      </c>
      <c r="B289" s="3">
        <f>IFERROR(VLOOKUP(A289,'Cadastro Geral Campistas'!$A:$R,2,0),"")</f>
        <v/>
      </c>
      <c r="C289" s="2">
        <f>IFERROR(VLOOKUP(A289,'Cadastro Geral Campistas'!$A:$R,5,0),"")</f>
        <v/>
      </c>
      <c r="D289" s="2">
        <f>IFERROR(VLOOKUP(A289,'Cadastro Geral Campistas'!$A:$R,6,0),"")</f>
        <v/>
      </c>
      <c r="E289" s="2">
        <f>IFERROR(VLOOKUP(A289,'Cadastro Geral Campistas'!$A:$R,7,0),"")</f>
        <v/>
      </c>
      <c r="F289" s="3">
        <f>IFERROR(VLOOKUP(A289,'Cadastro Geral Campistas'!$A:$R,9,0),"")</f>
        <v/>
      </c>
      <c r="G289" s="2">
        <f>IFERROR(VLOOKUP(A289,'Cadastro Geral Campistas'!$A:$R,3,0),"")</f>
        <v/>
      </c>
      <c r="H289" s="3">
        <f>IFERROR(VLOOKUP(A289,'Cadastro Geral Campistas'!$A:$R,8,0),"")</f>
        <v/>
      </c>
      <c r="I289" s="103">
        <f>IF(AND(IFERROR(VLOOKUP(A289,'Cadastro Geral Campistas'!$A:$R,18,0),0)&gt;0,COUNTIF($A$289:$A$304,IFERROR(VLOOKUP(A289,'Cadastro Geral Campistas'!$A:$R,18,0),0))&gt;0),"⚠️ CONFLITO! Cônjuge na mesma tribo: "&amp;IFERROR(VLOOKUP(IFERROR(VLOOKUP(A289,'Cadastro Geral Campistas'!$A:$R,18,0),0),'Cadastro Geral Campistas'!$A:$R,2,""),""),TRIM(IF(AND(IFERROR(VLOOKUP(A289,'Cadastro Geral Campistas'!$A:$R,10,0),"")&lt;&gt;"",LOWER(TRIM(IFERROR(VLOOKUP(A289,'Cadastro Geral Campistas'!$A:$R,10,0),"")))&lt;&gt;"não",LOWER(TRIM(IFERROR(VLOOKUP(A289,'Cadastro Geral Campistas'!$A:$R,10,0),"")))&lt;&gt;"nao",LOWER(TRIM(IFERROR(VLOOKUP(A289,'Cadastro Geral Campistas'!$A:$R,10,0),"")))&lt;&gt;"0"),IFERROR(VLOOKUP(A289,'Cadastro Geral Campistas'!$A:$R,10,0),"")&amp;IF(AND(IFERROR(VLOOKUP(A289,'Cadastro Geral Campistas'!$A:$R,15,0),"")&lt;&gt;"",LOWER(TRIM(IFERROR(VLOOKUP(A289,'Cadastro Geral Campistas'!$A:$R,15,0),"")))&lt;&gt;"não",LOWER(TRIM(IFERROR(VLOOKUP(A289,'Cadastro Geral Campistas'!$A:$R,15,0),"")))&lt;&gt;"nao",LOWER(TRIM(IFERROR(VLOOKUP(A289,'Cadastro Geral Campistas'!$A:$R,15,0),"")))&lt;&gt;"0")," | Alergia: "&amp;IFERROR(VLOOKUP(A289,'Cadastro Geral Campistas'!$A:$R,15,0),""),""),IF(AND(IFERROR(VLOOKUP(A289,'Cadastro Geral Campistas'!$A:$R,15,0),"")&lt;&gt;"",LOWER(TRIM(IFERROR(VLOOKUP(A289,'Cadastro Geral Campistas'!$A:$R,15,0),"")))&lt;&gt;"não",LOWER(TRIM(IFERROR(VLOOKUP(A289,'Cadastro Geral Campistas'!$A:$R,15,0),"")))&lt;&gt;"nao",LOWER(TRIM(IFERROR(VLOOKUP(A289,'Cadastro Geral Campistas'!$A:$R,15,0),"")))&lt;&gt;"0"),"Alergia: "&amp;IFERROR(VLOOKUP(A289,'Cadastro Geral Campistas'!$A:$R,15,0),""),""))))</f>
        <v/>
      </c>
      <c r="J289" s="56">
        <f>IFERROR(VLOOKUP(A289,'Cadastro Geral Campistas'!$A:$R,4,0),"")</f>
        <v/>
      </c>
    </row>
    <row r="290" ht="18" customHeight="1" s="121">
      <c r="A290" s="97" t="n">
        <v>14</v>
      </c>
      <c r="B290" s="43">
        <f>IFERROR(VLOOKUP(A290,'Cadastro Geral Campistas'!$A:$R,2,0),"")</f>
        <v/>
      </c>
      <c r="C290" s="44">
        <f>IFERROR(VLOOKUP(A290,'Cadastro Geral Campistas'!$A:$R,5,0),"")</f>
        <v/>
      </c>
      <c r="D290" s="44">
        <f>IFERROR(VLOOKUP(A290,'Cadastro Geral Campistas'!$A:$R,6,0),"")</f>
        <v/>
      </c>
      <c r="E290" s="44">
        <f>IFERROR(VLOOKUP(A290,'Cadastro Geral Campistas'!$A:$R,7,0),"")</f>
        <v/>
      </c>
      <c r="F290" s="43">
        <f>IFERROR(VLOOKUP(A290,'Cadastro Geral Campistas'!$A:$R,9,0),"")</f>
        <v/>
      </c>
      <c r="G290" s="44">
        <f>IFERROR(VLOOKUP(A290,'Cadastro Geral Campistas'!$A:$R,3,0),"")</f>
        <v/>
      </c>
      <c r="H290" s="43">
        <f>IFERROR(VLOOKUP(A290,'Cadastro Geral Campistas'!$A:$R,8,0),"")</f>
        <v/>
      </c>
      <c r="I290" s="113">
        <f>IF(AND(IFERROR(VLOOKUP(A290,'Cadastro Geral Campistas'!$A:$R,18,0),0)&gt;0,COUNTIF($A$289:$A$304,IFERROR(VLOOKUP(A290,'Cadastro Geral Campistas'!$A:$R,18,0),0))&gt;0),"⚠️ CONFLITO! Cônjuge na mesma tribo: "&amp;IFERROR(VLOOKUP(IFERROR(VLOOKUP(A290,'Cadastro Geral Campistas'!$A:$R,18,0),0),'Cadastro Geral Campistas'!$A:$R,2,""),""),TRIM(IF(AND(IFERROR(VLOOKUP(A290,'Cadastro Geral Campistas'!$A:$R,10,0),"")&lt;&gt;"",LOWER(TRIM(IFERROR(VLOOKUP(A290,'Cadastro Geral Campistas'!$A:$R,10,0),"")))&lt;&gt;"não",LOWER(TRIM(IFERROR(VLOOKUP(A290,'Cadastro Geral Campistas'!$A:$R,10,0),"")))&lt;&gt;"nao",LOWER(TRIM(IFERROR(VLOOKUP(A290,'Cadastro Geral Campistas'!$A:$R,10,0),"")))&lt;&gt;"0"),IFERROR(VLOOKUP(A290,'Cadastro Geral Campistas'!$A:$R,10,0),"")&amp;IF(AND(IFERROR(VLOOKUP(A290,'Cadastro Geral Campistas'!$A:$R,15,0),"")&lt;&gt;"",LOWER(TRIM(IFERROR(VLOOKUP(A290,'Cadastro Geral Campistas'!$A:$R,15,0),"")))&lt;&gt;"não",LOWER(TRIM(IFERROR(VLOOKUP(A290,'Cadastro Geral Campistas'!$A:$R,15,0),"")))&lt;&gt;"nao",LOWER(TRIM(IFERROR(VLOOKUP(A290,'Cadastro Geral Campistas'!$A:$R,15,0),"")))&lt;&gt;"0")," | Alergia: "&amp;IFERROR(VLOOKUP(A290,'Cadastro Geral Campistas'!$A:$R,15,0),""),""),IF(AND(IFERROR(VLOOKUP(A290,'Cadastro Geral Campistas'!$A:$R,15,0),"")&lt;&gt;"",LOWER(TRIM(IFERROR(VLOOKUP(A290,'Cadastro Geral Campistas'!$A:$R,15,0),"")))&lt;&gt;"não",LOWER(TRIM(IFERROR(VLOOKUP(A290,'Cadastro Geral Campistas'!$A:$R,15,0),"")))&lt;&gt;"nao",LOWER(TRIM(IFERROR(VLOOKUP(A290,'Cadastro Geral Campistas'!$A:$R,15,0),"")))&lt;&gt;"0"),"Alergia: "&amp;IFERROR(VLOOKUP(A290,'Cadastro Geral Campistas'!$A:$R,15,0),""),""))))</f>
        <v/>
      </c>
      <c r="J290" s="98">
        <f>IFERROR(VLOOKUP(A290,'Cadastro Geral Campistas'!$A:$R,4,0),"")</f>
        <v/>
      </c>
    </row>
    <row r="291" ht="18" customHeight="1" s="121">
      <c r="A291" s="57" t="n">
        <v>62</v>
      </c>
      <c r="B291" s="7">
        <f>IFERROR(VLOOKUP(A291,'Cadastro Geral Campistas'!$A:$R,2,0),"")</f>
        <v/>
      </c>
      <c r="C291" s="6">
        <f>IFERROR(VLOOKUP(A291,'Cadastro Geral Campistas'!$A:$R,5,0),"")</f>
        <v/>
      </c>
      <c r="D291" s="6">
        <f>IFERROR(VLOOKUP(A291,'Cadastro Geral Campistas'!$A:$R,6,0),"")</f>
        <v/>
      </c>
      <c r="E291" s="6">
        <f>IFERROR(VLOOKUP(A291,'Cadastro Geral Campistas'!$A:$R,7,0),"")</f>
        <v/>
      </c>
      <c r="F291" s="7">
        <f>IFERROR(VLOOKUP(A291,'Cadastro Geral Campistas'!$A:$R,9,0),"")</f>
        <v/>
      </c>
      <c r="G291" s="6">
        <f>IFERROR(VLOOKUP(A291,'Cadastro Geral Campistas'!$A:$R,3,0),"")</f>
        <v/>
      </c>
      <c r="H291" s="7">
        <f>IFERROR(VLOOKUP(A291,'Cadastro Geral Campistas'!$A:$R,8,0),"")</f>
        <v/>
      </c>
      <c r="I291" s="101">
        <f>IF(AND(IFERROR(VLOOKUP(A291,'Cadastro Geral Campistas'!$A:$R,18,0),0)&gt;0,COUNTIF($A$289:$A$304,IFERROR(VLOOKUP(A291,'Cadastro Geral Campistas'!$A:$R,18,0),0))&gt;0),"⚠️ CONFLITO! Cônjuge na mesma tribo: "&amp;IFERROR(VLOOKUP(IFERROR(VLOOKUP(A291,'Cadastro Geral Campistas'!$A:$R,18,0),0),'Cadastro Geral Campistas'!$A:$R,2,""),""),TRIM(IF(AND(IFERROR(VLOOKUP(A291,'Cadastro Geral Campistas'!$A:$R,10,0),"")&lt;&gt;"",LOWER(TRIM(IFERROR(VLOOKUP(A291,'Cadastro Geral Campistas'!$A:$R,10,0),"")))&lt;&gt;"não",LOWER(TRIM(IFERROR(VLOOKUP(A291,'Cadastro Geral Campistas'!$A:$R,10,0),"")))&lt;&gt;"nao",LOWER(TRIM(IFERROR(VLOOKUP(A291,'Cadastro Geral Campistas'!$A:$R,10,0),"")))&lt;&gt;"0"),IFERROR(VLOOKUP(A291,'Cadastro Geral Campistas'!$A:$R,10,0),"")&amp;IF(AND(IFERROR(VLOOKUP(A291,'Cadastro Geral Campistas'!$A:$R,15,0),"")&lt;&gt;"",LOWER(TRIM(IFERROR(VLOOKUP(A291,'Cadastro Geral Campistas'!$A:$R,15,0),"")))&lt;&gt;"não",LOWER(TRIM(IFERROR(VLOOKUP(A291,'Cadastro Geral Campistas'!$A:$R,15,0),"")))&lt;&gt;"nao",LOWER(TRIM(IFERROR(VLOOKUP(A291,'Cadastro Geral Campistas'!$A:$R,15,0),"")))&lt;&gt;"0")," | Alergia: "&amp;IFERROR(VLOOKUP(A291,'Cadastro Geral Campistas'!$A:$R,15,0),""),""),IF(AND(IFERROR(VLOOKUP(A291,'Cadastro Geral Campistas'!$A:$R,15,0),"")&lt;&gt;"",LOWER(TRIM(IFERROR(VLOOKUP(A291,'Cadastro Geral Campistas'!$A:$R,15,0),"")))&lt;&gt;"não",LOWER(TRIM(IFERROR(VLOOKUP(A291,'Cadastro Geral Campistas'!$A:$R,15,0),"")))&lt;&gt;"nao",LOWER(TRIM(IFERROR(VLOOKUP(A291,'Cadastro Geral Campistas'!$A:$R,15,0),"")))&lt;&gt;"0"),"Alergia: "&amp;IFERROR(VLOOKUP(A291,'Cadastro Geral Campistas'!$A:$R,15,0),""),""))))</f>
        <v/>
      </c>
      <c r="J291" s="58">
        <f>IFERROR(VLOOKUP(A291,'Cadastro Geral Campistas'!$A:$R,4,0),"")</f>
        <v/>
      </c>
    </row>
    <row r="292" ht="18" customHeight="1" s="121">
      <c r="A292" s="97" t="n">
        <v>95</v>
      </c>
      <c r="B292" s="43">
        <f>IFERROR(VLOOKUP(A292,'Cadastro Geral Campistas'!$A:$R,2,0),"")</f>
        <v/>
      </c>
      <c r="C292" s="44">
        <f>IFERROR(VLOOKUP(A292,'Cadastro Geral Campistas'!$A:$R,5,0),"")</f>
        <v/>
      </c>
      <c r="D292" s="44">
        <f>IFERROR(VLOOKUP(A292,'Cadastro Geral Campistas'!$A:$R,6,0),"")</f>
        <v/>
      </c>
      <c r="E292" s="44">
        <f>IFERROR(VLOOKUP(A292,'Cadastro Geral Campistas'!$A:$R,7,0),"")</f>
        <v/>
      </c>
      <c r="F292" s="43">
        <f>IFERROR(VLOOKUP(A292,'Cadastro Geral Campistas'!$A:$R,9,0),"")</f>
        <v/>
      </c>
      <c r="G292" s="44">
        <f>IFERROR(VLOOKUP(A292,'Cadastro Geral Campistas'!$A:$R,3,0),"")</f>
        <v/>
      </c>
      <c r="H292" s="43">
        <f>IFERROR(VLOOKUP(A292,'Cadastro Geral Campistas'!$A:$R,8,0),"")</f>
        <v/>
      </c>
      <c r="I292" s="113">
        <f>IF(AND(IFERROR(VLOOKUP(A292,'Cadastro Geral Campistas'!$A:$R,18,0),0)&gt;0,COUNTIF($A$289:$A$304,IFERROR(VLOOKUP(A292,'Cadastro Geral Campistas'!$A:$R,18,0),0))&gt;0),"⚠️ CONFLITO! Cônjuge na mesma tribo: "&amp;IFERROR(VLOOKUP(IFERROR(VLOOKUP(A292,'Cadastro Geral Campistas'!$A:$R,18,0),0),'Cadastro Geral Campistas'!$A:$R,2,""),""),TRIM(IF(AND(IFERROR(VLOOKUP(A292,'Cadastro Geral Campistas'!$A:$R,10,0),"")&lt;&gt;"",LOWER(TRIM(IFERROR(VLOOKUP(A292,'Cadastro Geral Campistas'!$A:$R,10,0),"")))&lt;&gt;"não",LOWER(TRIM(IFERROR(VLOOKUP(A292,'Cadastro Geral Campistas'!$A:$R,10,0),"")))&lt;&gt;"nao",LOWER(TRIM(IFERROR(VLOOKUP(A292,'Cadastro Geral Campistas'!$A:$R,10,0),"")))&lt;&gt;"0"),IFERROR(VLOOKUP(A292,'Cadastro Geral Campistas'!$A:$R,10,0),"")&amp;IF(AND(IFERROR(VLOOKUP(A292,'Cadastro Geral Campistas'!$A:$R,15,0),"")&lt;&gt;"",LOWER(TRIM(IFERROR(VLOOKUP(A292,'Cadastro Geral Campistas'!$A:$R,15,0),"")))&lt;&gt;"não",LOWER(TRIM(IFERROR(VLOOKUP(A292,'Cadastro Geral Campistas'!$A:$R,15,0),"")))&lt;&gt;"nao",LOWER(TRIM(IFERROR(VLOOKUP(A292,'Cadastro Geral Campistas'!$A:$R,15,0),"")))&lt;&gt;"0")," | Alergia: "&amp;IFERROR(VLOOKUP(A292,'Cadastro Geral Campistas'!$A:$R,15,0),""),""),IF(AND(IFERROR(VLOOKUP(A292,'Cadastro Geral Campistas'!$A:$R,15,0),"")&lt;&gt;"",LOWER(TRIM(IFERROR(VLOOKUP(A292,'Cadastro Geral Campistas'!$A:$R,15,0),"")))&lt;&gt;"não",LOWER(TRIM(IFERROR(VLOOKUP(A292,'Cadastro Geral Campistas'!$A:$R,15,0),"")))&lt;&gt;"nao",LOWER(TRIM(IFERROR(VLOOKUP(A292,'Cadastro Geral Campistas'!$A:$R,15,0),"")))&lt;&gt;"0"),"Alergia: "&amp;IFERROR(VLOOKUP(A292,'Cadastro Geral Campistas'!$A:$R,15,0),""),""))))</f>
        <v/>
      </c>
      <c r="J292" s="98">
        <f>IFERROR(VLOOKUP(A292,'Cadastro Geral Campistas'!$A:$R,4,0),"")</f>
        <v/>
      </c>
    </row>
    <row r="293" ht="18" customHeight="1" s="121">
      <c r="A293" s="57" t="n">
        <v>96</v>
      </c>
      <c r="B293" s="7">
        <f>IFERROR(VLOOKUP(A293,'Cadastro Geral Campistas'!$A:$R,2,0),"")</f>
        <v/>
      </c>
      <c r="C293" s="6">
        <f>IFERROR(VLOOKUP(A293,'Cadastro Geral Campistas'!$A:$R,5,0),"")</f>
        <v/>
      </c>
      <c r="D293" s="6">
        <f>IFERROR(VLOOKUP(A293,'Cadastro Geral Campistas'!$A:$R,6,0),"")</f>
        <v/>
      </c>
      <c r="E293" s="6">
        <f>IFERROR(VLOOKUP(A293,'Cadastro Geral Campistas'!$A:$R,7,0),"")</f>
        <v/>
      </c>
      <c r="F293" s="7">
        <f>IFERROR(VLOOKUP(A293,'Cadastro Geral Campistas'!$A:$R,9,0),"")</f>
        <v/>
      </c>
      <c r="G293" s="6">
        <f>IFERROR(VLOOKUP(A293,'Cadastro Geral Campistas'!$A:$R,3,0),"")</f>
        <v/>
      </c>
      <c r="H293" s="7">
        <f>IFERROR(VLOOKUP(A293,'Cadastro Geral Campistas'!$A:$R,8,0),"")</f>
        <v/>
      </c>
      <c r="I293" s="101">
        <f>IF(AND(IFERROR(VLOOKUP(A293,'Cadastro Geral Campistas'!$A:$R,18,0),0)&gt;0,COUNTIF($A$289:$A$304,IFERROR(VLOOKUP(A293,'Cadastro Geral Campistas'!$A:$R,18,0),0))&gt;0),"⚠️ CONFLITO! Cônjuge na mesma tribo: "&amp;IFERROR(VLOOKUP(IFERROR(VLOOKUP(A293,'Cadastro Geral Campistas'!$A:$R,18,0),0),'Cadastro Geral Campistas'!$A:$R,2,""),""),TRIM(IF(AND(IFERROR(VLOOKUP(A293,'Cadastro Geral Campistas'!$A:$R,10,0),"")&lt;&gt;"",LOWER(TRIM(IFERROR(VLOOKUP(A293,'Cadastro Geral Campistas'!$A:$R,10,0),"")))&lt;&gt;"não",LOWER(TRIM(IFERROR(VLOOKUP(A293,'Cadastro Geral Campistas'!$A:$R,10,0),"")))&lt;&gt;"nao",LOWER(TRIM(IFERROR(VLOOKUP(A293,'Cadastro Geral Campistas'!$A:$R,10,0),"")))&lt;&gt;"0"),IFERROR(VLOOKUP(A293,'Cadastro Geral Campistas'!$A:$R,10,0),"")&amp;IF(AND(IFERROR(VLOOKUP(A293,'Cadastro Geral Campistas'!$A:$R,15,0),"")&lt;&gt;"",LOWER(TRIM(IFERROR(VLOOKUP(A293,'Cadastro Geral Campistas'!$A:$R,15,0),"")))&lt;&gt;"não",LOWER(TRIM(IFERROR(VLOOKUP(A293,'Cadastro Geral Campistas'!$A:$R,15,0),"")))&lt;&gt;"nao",LOWER(TRIM(IFERROR(VLOOKUP(A293,'Cadastro Geral Campistas'!$A:$R,15,0),"")))&lt;&gt;"0")," | Alergia: "&amp;IFERROR(VLOOKUP(A293,'Cadastro Geral Campistas'!$A:$R,15,0),""),""),IF(AND(IFERROR(VLOOKUP(A293,'Cadastro Geral Campistas'!$A:$R,15,0),"")&lt;&gt;"",LOWER(TRIM(IFERROR(VLOOKUP(A293,'Cadastro Geral Campistas'!$A:$R,15,0),"")))&lt;&gt;"não",LOWER(TRIM(IFERROR(VLOOKUP(A293,'Cadastro Geral Campistas'!$A:$R,15,0),"")))&lt;&gt;"nao",LOWER(TRIM(IFERROR(VLOOKUP(A293,'Cadastro Geral Campistas'!$A:$R,15,0),"")))&lt;&gt;"0"),"Alergia: "&amp;IFERROR(VLOOKUP(A293,'Cadastro Geral Campistas'!$A:$R,15,0),""),""))))</f>
        <v/>
      </c>
      <c r="J293" s="58">
        <f>IFERROR(VLOOKUP(A293,'Cadastro Geral Campistas'!$A:$R,4,0),"")</f>
        <v/>
      </c>
    </row>
    <row r="294" ht="18" customHeight="1" s="121">
      <c r="A294" s="97" t="n">
        <v>142</v>
      </c>
      <c r="B294" s="43">
        <f>IFERROR(VLOOKUP(A294,'Cadastro Geral Campistas'!$A:$R,2,0),"")</f>
        <v/>
      </c>
      <c r="C294" s="44">
        <f>IFERROR(VLOOKUP(A294,'Cadastro Geral Campistas'!$A:$R,5,0),"")</f>
        <v/>
      </c>
      <c r="D294" s="44">
        <f>IFERROR(VLOOKUP(A294,'Cadastro Geral Campistas'!$A:$R,6,0),"")</f>
        <v/>
      </c>
      <c r="E294" s="44">
        <f>IFERROR(VLOOKUP(A294,'Cadastro Geral Campistas'!$A:$R,7,0),"")</f>
        <v/>
      </c>
      <c r="F294" s="43">
        <f>IFERROR(VLOOKUP(A294,'Cadastro Geral Campistas'!$A:$R,9,0),"")</f>
        <v/>
      </c>
      <c r="G294" s="44">
        <f>IFERROR(VLOOKUP(A294,'Cadastro Geral Campistas'!$A:$R,3,0),"")</f>
        <v/>
      </c>
      <c r="H294" s="43">
        <f>IFERROR(VLOOKUP(A294,'Cadastro Geral Campistas'!$A:$R,8,0),"")</f>
        <v/>
      </c>
      <c r="I294" s="113">
        <f>IF(AND(IFERROR(VLOOKUP(A294,'Cadastro Geral Campistas'!$A:$R,18,0),0)&gt;0,COUNTIF($A$289:$A$304,IFERROR(VLOOKUP(A294,'Cadastro Geral Campistas'!$A:$R,18,0),0))&gt;0),"⚠️ CONFLITO! Cônjuge na mesma tribo: "&amp;IFERROR(VLOOKUP(IFERROR(VLOOKUP(A294,'Cadastro Geral Campistas'!$A:$R,18,0),0),'Cadastro Geral Campistas'!$A:$R,2,""),""),TRIM(IF(AND(IFERROR(VLOOKUP(A294,'Cadastro Geral Campistas'!$A:$R,10,0),"")&lt;&gt;"",LOWER(TRIM(IFERROR(VLOOKUP(A294,'Cadastro Geral Campistas'!$A:$R,10,0),"")))&lt;&gt;"não",LOWER(TRIM(IFERROR(VLOOKUP(A294,'Cadastro Geral Campistas'!$A:$R,10,0),"")))&lt;&gt;"nao",LOWER(TRIM(IFERROR(VLOOKUP(A294,'Cadastro Geral Campistas'!$A:$R,10,0),"")))&lt;&gt;"0"),IFERROR(VLOOKUP(A294,'Cadastro Geral Campistas'!$A:$R,10,0),"")&amp;IF(AND(IFERROR(VLOOKUP(A294,'Cadastro Geral Campistas'!$A:$R,15,0),"")&lt;&gt;"",LOWER(TRIM(IFERROR(VLOOKUP(A294,'Cadastro Geral Campistas'!$A:$R,15,0),"")))&lt;&gt;"não",LOWER(TRIM(IFERROR(VLOOKUP(A294,'Cadastro Geral Campistas'!$A:$R,15,0),"")))&lt;&gt;"nao",LOWER(TRIM(IFERROR(VLOOKUP(A294,'Cadastro Geral Campistas'!$A:$R,15,0),"")))&lt;&gt;"0")," | Alergia: "&amp;IFERROR(VLOOKUP(A294,'Cadastro Geral Campistas'!$A:$R,15,0),""),""),IF(AND(IFERROR(VLOOKUP(A294,'Cadastro Geral Campistas'!$A:$R,15,0),"")&lt;&gt;"",LOWER(TRIM(IFERROR(VLOOKUP(A294,'Cadastro Geral Campistas'!$A:$R,15,0),"")))&lt;&gt;"não",LOWER(TRIM(IFERROR(VLOOKUP(A294,'Cadastro Geral Campistas'!$A:$R,15,0),"")))&lt;&gt;"nao",LOWER(TRIM(IFERROR(VLOOKUP(A294,'Cadastro Geral Campistas'!$A:$R,15,0),"")))&lt;&gt;"0"),"Alergia: "&amp;IFERROR(VLOOKUP(A294,'Cadastro Geral Campistas'!$A:$R,15,0),""),""))))</f>
        <v/>
      </c>
      <c r="J294" s="98">
        <f>IFERROR(VLOOKUP(A294,'Cadastro Geral Campistas'!$A:$R,4,0),"")</f>
        <v/>
      </c>
    </row>
    <row r="295" ht="18" customHeight="1" s="121">
      <c r="A295" s="55" t="n">
        <v>105</v>
      </c>
      <c r="B295" s="3">
        <f>IFERROR(VLOOKUP(A295,'Cadastro Geral Campistas'!$A:$R,2,0),"")</f>
        <v/>
      </c>
      <c r="C295" s="2">
        <f>IFERROR(VLOOKUP(A295,'Cadastro Geral Campistas'!$A:$R,5,0),"")</f>
        <v/>
      </c>
      <c r="D295" s="2">
        <f>IFERROR(VLOOKUP(A295,'Cadastro Geral Campistas'!$A:$R,6,0),"")</f>
        <v/>
      </c>
      <c r="E295" s="2">
        <f>IFERROR(VLOOKUP(A295,'Cadastro Geral Campistas'!$A:$R,7,0),"")</f>
        <v/>
      </c>
      <c r="F295" s="3">
        <f>IFERROR(VLOOKUP(A295,'Cadastro Geral Campistas'!$A:$R,9,0),"")</f>
        <v/>
      </c>
      <c r="G295" s="2">
        <f>IFERROR(VLOOKUP(A295,'Cadastro Geral Campistas'!$A:$R,3,0),"")</f>
        <v/>
      </c>
      <c r="H295" s="3">
        <f>IFERROR(VLOOKUP(A295,'Cadastro Geral Campistas'!$A:$R,8,0),"")</f>
        <v/>
      </c>
      <c r="I295" s="103">
        <f>IF(AND(IFERROR(VLOOKUP(A295,'Cadastro Geral Campistas'!$A:$R,18,0),0)&gt;0,COUNTIF($A$289:$A$304,IFERROR(VLOOKUP(A295,'Cadastro Geral Campistas'!$A:$R,18,0),0))&gt;0),"⚠️ CONFLITO! Cônjuge na mesma tribo: "&amp;IFERROR(VLOOKUP(IFERROR(VLOOKUP(A295,'Cadastro Geral Campistas'!$A:$R,18,0),0),'Cadastro Geral Campistas'!$A:$R,2,""),""),TRIM(IF(AND(IFERROR(VLOOKUP(A295,'Cadastro Geral Campistas'!$A:$R,10,0),"")&lt;&gt;"",LOWER(TRIM(IFERROR(VLOOKUP(A295,'Cadastro Geral Campistas'!$A:$R,10,0),"")))&lt;&gt;"não",LOWER(TRIM(IFERROR(VLOOKUP(A295,'Cadastro Geral Campistas'!$A:$R,10,0),"")))&lt;&gt;"nao",LOWER(TRIM(IFERROR(VLOOKUP(A295,'Cadastro Geral Campistas'!$A:$R,10,0),"")))&lt;&gt;"0"),IFERROR(VLOOKUP(A295,'Cadastro Geral Campistas'!$A:$R,10,0),"")&amp;IF(AND(IFERROR(VLOOKUP(A295,'Cadastro Geral Campistas'!$A:$R,15,0),"")&lt;&gt;"",LOWER(TRIM(IFERROR(VLOOKUP(A295,'Cadastro Geral Campistas'!$A:$R,15,0),"")))&lt;&gt;"não",LOWER(TRIM(IFERROR(VLOOKUP(A295,'Cadastro Geral Campistas'!$A:$R,15,0),"")))&lt;&gt;"nao",LOWER(TRIM(IFERROR(VLOOKUP(A295,'Cadastro Geral Campistas'!$A:$R,15,0),"")))&lt;&gt;"0")," | Alergia: "&amp;IFERROR(VLOOKUP(A295,'Cadastro Geral Campistas'!$A:$R,15,0),""),""),IF(AND(IFERROR(VLOOKUP(A295,'Cadastro Geral Campistas'!$A:$R,15,0),"")&lt;&gt;"",LOWER(TRIM(IFERROR(VLOOKUP(A295,'Cadastro Geral Campistas'!$A:$R,15,0),"")))&lt;&gt;"não",LOWER(TRIM(IFERROR(VLOOKUP(A295,'Cadastro Geral Campistas'!$A:$R,15,0),"")))&lt;&gt;"nao",LOWER(TRIM(IFERROR(VLOOKUP(A295,'Cadastro Geral Campistas'!$A:$R,15,0),"")))&lt;&gt;"0"),"Alergia: "&amp;IFERROR(VLOOKUP(A295,'Cadastro Geral Campistas'!$A:$R,15,0),""),""))))</f>
        <v/>
      </c>
      <c r="J295" s="56">
        <f>IFERROR(VLOOKUP(A295,'Cadastro Geral Campistas'!$A:$R,4,0),"")</f>
        <v/>
      </c>
    </row>
    <row r="296" ht="18" customHeight="1" s="121">
      <c r="A296" s="97" t="n">
        <v>110</v>
      </c>
      <c r="B296" s="43">
        <f>IFERROR(VLOOKUP(A296,'Cadastro Geral Campistas'!$A:$R,2,0),"")</f>
        <v/>
      </c>
      <c r="C296" s="44">
        <f>IFERROR(VLOOKUP(A296,'Cadastro Geral Campistas'!$A:$R,5,0),"")</f>
        <v/>
      </c>
      <c r="D296" s="44">
        <f>IFERROR(VLOOKUP(A296,'Cadastro Geral Campistas'!$A:$R,6,0),"")</f>
        <v/>
      </c>
      <c r="E296" s="44">
        <f>IFERROR(VLOOKUP(A296,'Cadastro Geral Campistas'!$A:$R,7,0),"")</f>
        <v/>
      </c>
      <c r="F296" s="43">
        <f>IFERROR(VLOOKUP(A296,'Cadastro Geral Campistas'!$A:$R,9,0),"")</f>
        <v/>
      </c>
      <c r="G296" s="44">
        <f>IFERROR(VLOOKUP(A296,'Cadastro Geral Campistas'!$A:$R,3,0),"")</f>
        <v/>
      </c>
      <c r="H296" s="43">
        <f>IFERROR(VLOOKUP(A296,'Cadastro Geral Campistas'!$A:$R,8,0),"")</f>
        <v/>
      </c>
      <c r="I296" s="113">
        <f>IF(AND(IFERROR(VLOOKUP(A296,'Cadastro Geral Campistas'!$A:$R,18,0),0)&gt;0,COUNTIF($A$289:$A$304,IFERROR(VLOOKUP(A296,'Cadastro Geral Campistas'!$A:$R,18,0),0))&gt;0),"⚠️ CONFLITO! Cônjuge na mesma tribo: "&amp;IFERROR(VLOOKUP(IFERROR(VLOOKUP(A296,'Cadastro Geral Campistas'!$A:$R,18,0),0),'Cadastro Geral Campistas'!$A:$R,2,""),""),TRIM(IF(AND(IFERROR(VLOOKUP(A296,'Cadastro Geral Campistas'!$A:$R,10,0),"")&lt;&gt;"",LOWER(TRIM(IFERROR(VLOOKUP(A296,'Cadastro Geral Campistas'!$A:$R,10,0),"")))&lt;&gt;"não",LOWER(TRIM(IFERROR(VLOOKUP(A296,'Cadastro Geral Campistas'!$A:$R,10,0),"")))&lt;&gt;"nao",LOWER(TRIM(IFERROR(VLOOKUP(A296,'Cadastro Geral Campistas'!$A:$R,10,0),"")))&lt;&gt;"0"),IFERROR(VLOOKUP(A296,'Cadastro Geral Campistas'!$A:$R,10,0),"")&amp;IF(AND(IFERROR(VLOOKUP(A296,'Cadastro Geral Campistas'!$A:$R,15,0),"")&lt;&gt;"",LOWER(TRIM(IFERROR(VLOOKUP(A296,'Cadastro Geral Campistas'!$A:$R,15,0),"")))&lt;&gt;"não",LOWER(TRIM(IFERROR(VLOOKUP(A296,'Cadastro Geral Campistas'!$A:$R,15,0),"")))&lt;&gt;"nao",LOWER(TRIM(IFERROR(VLOOKUP(A296,'Cadastro Geral Campistas'!$A:$R,15,0),"")))&lt;&gt;"0")," | Alergia: "&amp;IFERROR(VLOOKUP(A296,'Cadastro Geral Campistas'!$A:$R,15,0),""),""),IF(AND(IFERROR(VLOOKUP(A296,'Cadastro Geral Campistas'!$A:$R,15,0),"")&lt;&gt;"",LOWER(TRIM(IFERROR(VLOOKUP(A296,'Cadastro Geral Campistas'!$A:$R,15,0),"")))&lt;&gt;"não",LOWER(TRIM(IFERROR(VLOOKUP(A296,'Cadastro Geral Campistas'!$A:$R,15,0),"")))&lt;&gt;"nao",LOWER(TRIM(IFERROR(VLOOKUP(A296,'Cadastro Geral Campistas'!$A:$R,15,0),"")))&lt;&gt;"0"),"Alergia: "&amp;IFERROR(VLOOKUP(A296,'Cadastro Geral Campistas'!$A:$R,15,0),""),""))))</f>
        <v/>
      </c>
      <c r="J296" s="98">
        <f>IFERROR(VLOOKUP(A296,'Cadastro Geral Campistas'!$A:$R,4,0),"")</f>
        <v/>
      </c>
    </row>
    <row r="297" ht="18" customHeight="1" s="121">
      <c r="A297" s="55" t="n">
        <v>26</v>
      </c>
      <c r="B297" s="3">
        <f>IFERROR(VLOOKUP(A297,'Cadastro Geral Campistas'!$A:$R,2,0),"")</f>
        <v/>
      </c>
      <c r="C297" s="2">
        <f>IFERROR(VLOOKUP(A297,'Cadastro Geral Campistas'!$A:$R,5,0),"")</f>
        <v/>
      </c>
      <c r="D297" s="2">
        <f>IFERROR(VLOOKUP(A297,'Cadastro Geral Campistas'!$A:$R,6,0),"")</f>
        <v/>
      </c>
      <c r="E297" s="2">
        <f>IFERROR(VLOOKUP(A297,'Cadastro Geral Campistas'!$A:$R,7,0),"")</f>
        <v/>
      </c>
      <c r="F297" s="3">
        <f>IFERROR(VLOOKUP(A297,'Cadastro Geral Campistas'!$A:$R,9,0),"")</f>
        <v/>
      </c>
      <c r="G297" s="2">
        <f>IFERROR(VLOOKUP(A297,'Cadastro Geral Campistas'!$A:$R,3,0),"")</f>
        <v/>
      </c>
      <c r="H297" s="3">
        <f>IFERROR(VLOOKUP(A297,'Cadastro Geral Campistas'!$A:$R,8,0),"")</f>
        <v/>
      </c>
      <c r="I297" s="103">
        <f>IF(AND(IFERROR(VLOOKUP(A297,'Cadastro Geral Campistas'!$A:$R,18,0),0)&gt;0,COUNTIF($A$289:$A$304,IFERROR(VLOOKUP(A297,'Cadastro Geral Campistas'!$A:$R,18,0),0))&gt;0),"⚠️ CONFLITO! Cônjuge na mesma tribo: "&amp;IFERROR(VLOOKUP(IFERROR(VLOOKUP(A297,'Cadastro Geral Campistas'!$A:$R,18,0),0),'Cadastro Geral Campistas'!$A:$R,2,""),""),TRIM(IF(AND(IFERROR(VLOOKUP(A297,'Cadastro Geral Campistas'!$A:$R,10,0),"")&lt;&gt;"",LOWER(TRIM(IFERROR(VLOOKUP(A297,'Cadastro Geral Campistas'!$A:$R,10,0),"")))&lt;&gt;"não",LOWER(TRIM(IFERROR(VLOOKUP(A297,'Cadastro Geral Campistas'!$A:$R,10,0),"")))&lt;&gt;"nao",LOWER(TRIM(IFERROR(VLOOKUP(A297,'Cadastro Geral Campistas'!$A:$R,10,0),"")))&lt;&gt;"0"),IFERROR(VLOOKUP(A297,'Cadastro Geral Campistas'!$A:$R,10,0),"")&amp;IF(AND(IFERROR(VLOOKUP(A297,'Cadastro Geral Campistas'!$A:$R,15,0),"")&lt;&gt;"",LOWER(TRIM(IFERROR(VLOOKUP(A297,'Cadastro Geral Campistas'!$A:$R,15,0),"")))&lt;&gt;"não",LOWER(TRIM(IFERROR(VLOOKUP(A297,'Cadastro Geral Campistas'!$A:$R,15,0),"")))&lt;&gt;"nao",LOWER(TRIM(IFERROR(VLOOKUP(A297,'Cadastro Geral Campistas'!$A:$R,15,0),"")))&lt;&gt;"0")," | Alergia: "&amp;IFERROR(VLOOKUP(A297,'Cadastro Geral Campistas'!$A:$R,15,0),""),""),IF(AND(IFERROR(VLOOKUP(A297,'Cadastro Geral Campistas'!$A:$R,15,0),"")&lt;&gt;"",LOWER(TRIM(IFERROR(VLOOKUP(A297,'Cadastro Geral Campistas'!$A:$R,15,0),"")))&lt;&gt;"não",LOWER(TRIM(IFERROR(VLOOKUP(A297,'Cadastro Geral Campistas'!$A:$R,15,0),"")))&lt;&gt;"nao",LOWER(TRIM(IFERROR(VLOOKUP(A297,'Cadastro Geral Campistas'!$A:$R,15,0),"")))&lt;&gt;"0"),"Alergia: "&amp;IFERROR(VLOOKUP(A297,'Cadastro Geral Campistas'!$A:$R,15,0),""),""))))</f>
        <v/>
      </c>
      <c r="J297" s="56">
        <f>IFERROR(VLOOKUP(A297,'Cadastro Geral Campistas'!$A:$R,4,0),"")</f>
        <v/>
      </c>
    </row>
    <row r="298" ht="18" customHeight="1" s="121">
      <c r="A298" s="55" t="n">
        <v>40</v>
      </c>
      <c r="B298" s="3">
        <f>IFERROR(VLOOKUP(A298,'Cadastro Geral Campistas'!$A:$R,2,0),"")</f>
        <v/>
      </c>
      <c r="C298" s="2">
        <f>IFERROR(VLOOKUP(A298,'Cadastro Geral Campistas'!$A:$R,5,0),"")</f>
        <v/>
      </c>
      <c r="D298" s="2">
        <f>IFERROR(VLOOKUP(A298,'Cadastro Geral Campistas'!$A:$R,6,0),"")</f>
        <v/>
      </c>
      <c r="E298" s="2">
        <f>IFERROR(VLOOKUP(A298,'Cadastro Geral Campistas'!$A:$R,7,0),"")</f>
        <v/>
      </c>
      <c r="F298" s="3">
        <f>IFERROR(VLOOKUP(A298,'Cadastro Geral Campistas'!$A:$R,9,0),"")</f>
        <v/>
      </c>
      <c r="G298" s="2">
        <f>IFERROR(VLOOKUP(A298,'Cadastro Geral Campistas'!$A:$R,3,0),"")</f>
        <v/>
      </c>
      <c r="H298" s="3">
        <f>IFERROR(VLOOKUP(A298,'Cadastro Geral Campistas'!$A:$R,8,0),"")</f>
        <v/>
      </c>
      <c r="I298" s="103">
        <f>IF(AND(IFERROR(VLOOKUP(A298,'Cadastro Geral Campistas'!$A:$R,18,0),0)&gt;0,COUNTIF($A$289:$A$304,IFERROR(VLOOKUP(A298,'Cadastro Geral Campistas'!$A:$R,18,0),0))&gt;0),"⚠️ CONFLITO! Cônjuge na mesma tribo: "&amp;IFERROR(VLOOKUP(IFERROR(VLOOKUP(A298,'Cadastro Geral Campistas'!$A:$R,18,0),0),'Cadastro Geral Campistas'!$A:$R,2,""),""),TRIM(IF(AND(IFERROR(VLOOKUP(A298,'Cadastro Geral Campistas'!$A:$R,10,0),"")&lt;&gt;"",LOWER(TRIM(IFERROR(VLOOKUP(A298,'Cadastro Geral Campistas'!$A:$R,10,0),"")))&lt;&gt;"não",LOWER(TRIM(IFERROR(VLOOKUP(A298,'Cadastro Geral Campistas'!$A:$R,10,0),"")))&lt;&gt;"nao",LOWER(TRIM(IFERROR(VLOOKUP(A298,'Cadastro Geral Campistas'!$A:$R,10,0),"")))&lt;&gt;"0"),IFERROR(VLOOKUP(A298,'Cadastro Geral Campistas'!$A:$R,10,0),"")&amp;IF(AND(IFERROR(VLOOKUP(A298,'Cadastro Geral Campistas'!$A:$R,15,0),"")&lt;&gt;"",LOWER(TRIM(IFERROR(VLOOKUP(A298,'Cadastro Geral Campistas'!$A:$R,15,0),"")))&lt;&gt;"não",LOWER(TRIM(IFERROR(VLOOKUP(A298,'Cadastro Geral Campistas'!$A:$R,15,0),"")))&lt;&gt;"nao",LOWER(TRIM(IFERROR(VLOOKUP(A298,'Cadastro Geral Campistas'!$A:$R,15,0),"")))&lt;&gt;"0")," | Alergia: "&amp;IFERROR(VLOOKUP(A298,'Cadastro Geral Campistas'!$A:$R,15,0),""),""),IF(AND(IFERROR(VLOOKUP(A298,'Cadastro Geral Campistas'!$A:$R,15,0),"")&lt;&gt;"",LOWER(TRIM(IFERROR(VLOOKUP(A298,'Cadastro Geral Campistas'!$A:$R,15,0),"")))&lt;&gt;"não",LOWER(TRIM(IFERROR(VLOOKUP(A298,'Cadastro Geral Campistas'!$A:$R,15,0),"")))&lt;&gt;"nao",LOWER(TRIM(IFERROR(VLOOKUP(A298,'Cadastro Geral Campistas'!$A:$R,15,0),"")))&lt;&gt;"0"),"Alergia: "&amp;IFERROR(VLOOKUP(A298,'Cadastro Geral Campistas'!$A:$R,15,0),""),""))))</f>
        <v/>
      </c>
      <c r="J298" s="56">
        <f>IFERROR(VLOOKUP(A298,'Cadastro Geral Campistas'!$A:$R,4,0),"")</f>
        <v/>
      </c>
    </row>
    <row r="299" ht="18" customHeight="1" s="121">
      <c r="A299" s="57" t="n">
        <v>53</v>
      </c>
      <c r="B299" s="7">
        <f>IFERROR(VLOOKUP(A299,'Cadastro Geral Campistas'!$A:$R,2,0),"")</f>
        <v/>
      </c>
      <c r="C299" s="6">
        <f>IFERROR(VLOOKUP(A299,'Cadastro Geral Campistas'!$A:$R,5,0),"")</f>
        <v/>
      </c>
      <c r="D299" s="6">
        <f>IFERROR(VLOOKUP(A299,'Cadastro Geral Campistas'!$A:$R,6,0),"")</f>
        <v/>
      </c>
      <c r="E299" s="6">
        <f>IFERROR(VLOOKUP(A299,'Cadastro Geral Campistas'!$A:$R,7,0),"")</f>
        <v/>
      </c>
      <c r="F299" s="7">
        <f>IFERROR(VLOOKUP(A299,'Cadastro Geral Campistas'!$A:$R,9,0),"")</f>
        <v/>
      </c>
      <c r="G299" s="6">
        <f>IFERROR(VLOOKUP(A299,'Cadastro Geral Campistas'!$A:$R,3,0),"")</f>
        <v/>
      </c>
      <c r="H299" s="7">
        <f>IFERROR(VLOOKUP(A299,'Cadastro Geral Campistas'!$A:$R,8,0),"")</f>
        <v/>
      </c>
      <c r="I299" s="101">
        <f>IF(AND(IFERROR(VLOOKUP(A299,'Cadastro Geral Campistas'!$A:$R,18,0),0)&gt;0,COUNTIF($A$289:$A$304,IFERROR(VLOOKUP(A299,'Cadastro Geral Campistas'!$A:$R,18,0),0))&gt;0),"⚠️ CONFLITO! Cônjuge na mesma tribo: "&amp;IFERROR(VLOOKUP(IFERROR(VLOOKUP(A299,'Cadastro Geral Campistas'!$A:$R,18,0),0),'Cadastro Geral Campistas'!$A:$R,2,""),""),TRIM(IF(AND(IFERROR(VLOOKUP(A299,'Cadastro Geral Campistas'!$A:$R,10,0),"")&lt;&gt;"",LOWER(TRIM(IFERROR(VLOOKUP(A299,'Cadastro Geral Campistas'!$A:$R,10,0),"")))&lt;&gt;"não",LOWER(TRIM(IFERROR(VLOOKUP(A299,'Cadastro Geral Campistas'!$A:$R,10,0),"")))&lt;&gt;"nao",LOWER(TRIM(IFERROR(VLOOKUP(A299,'Cadastro Geral Campistas'!$A:$R,10,0),"")))&lt;&gt;"0"),IFERROR(VLOOKUP(A299,'Cadastro Geral Campistas'!$A:$R,10,0),"")&amp;IF(AND(IFERROR(VLOOKUP(A299,'Cadastro Geral Campistas'!$A:$R,15,0),"")&lt;&gt;"",LOWER(TRIM(IFERROR(VLOOKUP(A299,'Cadastro Geral Campistas'!$A:$R,15,0),"")))&lt;&gt;"não",LOWER(TRIM(IFERROR(VLOOKUP(A299,'Cadastro Geral Campistas'!$A:$R,15,0),"")))&lt;&gt;"nao",LOWER(TRIM(IFERROR(VLOOKUP(A299,'Cadastro Geral Campistas'!$A:$R,15,0),"")))&lt;&gt;"0")," | Alergia: "&amp;IFERROR(VLOOKUP(A299,'Cadastro Geral Campistas'!$A:$R,15,0),""),""),IF(AND(IFERROR(VLOOKUP(A299,'Cadastro Geral Campistas'!$A:$R,15,0),"")&lt;&gt;"",LOWER(TRIM(IFERROR(VLOOKUP(A299,'Cadastro Geral Campistas'!$A:$R,15,0),"")))&lt;&gt;"não",LOWER(TRIM(IFERROR(VLOOKUP(A299,'Cadastro Geral Campistas'!$A:$R,15,0),"")))&lt;&gt;"nao",LOWER(TRIM(IFERROR(VLOOKUP(A299,'Cadastro Geral Campistas'!$A:$R,15,0),"")))&lt;&gt;"0"),"Alergia: "&amp;IFERROR(VLOOKUP(A299,'Cadastro Geral Campistas'!$A:$R,15,0),""),""))))</f>
        <v/>
      </c>
      <c r="J299" s="58">
        <f>IFERROR(VLOOKUP(A299,'Cadastro Geral Campistas'!$A:$R,4,0),"")</f>
        <v/>
      </c>
    </row>
    <row r="300" ht="18" customHeight="1" s="121">
      <c r="A300" s="97" t="n">
        <v>65</v>
      </c>
      <c r="B300" s="43">
        <f>IFERROR(VLOOKUP(A300,'Cadastro Geral Campistas'!$A:$R,2,0),"")</f>
        <v/>
      </c>
      <c r="C300" s="44">
        <f>IFERROR(VLOOKUP(A300,'Cadastro Geral Campistas'!$A:$R,5,0),"")</f>
        <v/>
      </c>
      <c r="D300" s="44">
        <f>IFERROR(VLOOKUP(A300,'Cadastro Geral Campistas'!$A:$R,6,0),"")</f>
        <v/>
      </c>
      <c r="E300" s="44">
        <f>IFERROR(VLOOKUP(A300,'Cadastro Geral Campistas'!$A:$R,7,0),"")</f>
        <v/>
      </c>
      <c r="F300" s="43">
        <f>IFERROR(VLOOKUP(A300,'Cadastro Geral Campistas'!$A:$R,9,0),"")</f>
        <v/>
      </c>
      <c r="G300" s="44">
        <f>IFERROR(VLOOKUP(A300,'Cadastro Geral Campistas'!$A:$R,3,0),"")</f>
        <v/>
      </c>
      <c r="H300" s="43">
        <f>IFERROR(VLOOKUP(A300,'Cadastro Geral Campistas'!$A:$R,8,0),"")</f>
        <v/>
      </c>
      <c r="I300" s="113">
        <f>IF(AND(IFERROR(VLOOKUP(A300,'Cadastro Geral Campistas'!$A:$R,18,0),0)&gt;0,COUNTIF($A$289:$A$304,IFERROR(VLOOKUP(A300,'Cadastro Geral Campistas'!$A:$R,18,0),0))&gt;0),"⚠️ CONFLITO! Cônjuge na mesma tribo: "&amp;IFERROR(VLOOKUP(IFERROR(VLOOKUP(A300,'Cadastro Geral Campistas'!$A:$R,18,0),0),'Cadastro Geral Campistas'!$A:$R,2,""),""),TRIM(IF(AND(IFERROR(VLOOKUP(A300,'Cadastro Geral Campistas'!$A:$R,10,0),"")&lt;&gt;"",LOWER(TRIM(IFERROR(VLOOKUP(A300,'Cadastro Geral Campistas'!$A:$R,10,0),"")))&lt;&gt;"não",LOWER(TRIM(IFERROR(VLOOKUP(A300,'Cadastro Geral Campistas'!$A:$R,10,0),"")))&lt;&gt;"nao",LOWER(TRIM(IFERROR(VLOOKUP(A300,'Cadastro Geral Campistas'!$A:$R,10,0),"")))&lt;&gt;"0"),IFERROR(VLOOKUP(A300,'Cadastro Geral Campistas'!$A:$R,10,0),"")&amp;IF(AND(IFERROR(VLOOKUP(A300,'Cadastro Geral Campistas'!$A:$R,15,0),"")&lt;&gt;"",LOWER(TRIM(IFERROR(VLOOKUP(A300,'Cadastro Geral Campistas'!$A:$R,15,0),"")))&lt;&gt;"não",LOWER(TRIM(IFERROR(VLOOKUP(A300,'Cadastro Geral Campistas'!$A:$R,15,0),"")))&lt;&gt;"nao",LOWER(TRIM(IFERROR(VLOOKUP(A300,'Cadastro Geral Campistas'!$A:$R,15,0),"")))&lt;&gt;"0")," | Alergia: "&amp;IFERROR(VLOOKUP(A300,'Cadastro Geral Campistas'!$A:$R,15,0),""),""),IF(AND(IFERROR(VLOOKUP(A300,'Cadastro Geral Campistas'!$A:$R,15,0),"")&lt;&gt;"",LOWER(TRIM(IFERROR(VLOOKUP(A300,'Cadastro Geral Campistas'!$A:$R,15,0),"")))&lt;&gt;"não",LOWER(TRIM(IFERROR(VLOOKUP(A300,'Cadastro Geral Campistas'!$A:$R,15,0),"")))&lt;&gt;"nao",LOWER(TRIM(IFERROR(VLOOKUP(A300,'Cadastro Geral Campistas'!$A:$R,15,0),"")))&lt;&gt;"0"),"Alergia: "&amp;IFERROR(VLOOKUP(A300,'Cadastro Geral Campistas'!$A:$R,15,0),""),""))))</f>
        <v/>
      </c>
      <c r="J300" s="98">
        <f>IFERROR(VLOOKUP(A300,'Cadastro Geral Campistas'!$A:$R,4,0),"")</f>
        <v/>
      </c>
    </row>
    <row r="301" ht="18" customHeight="1" s="121">
      <c r="A301" s="55" t="n">
        <v>91</v>
      </c>
      <c r="B301" s="3">
        <f>IFERROR(VLOOKUP(A301,'Cadastro Geral Campistas'!$A:$R,2,0),"")</f>
        <v/>
      </c>
      <c r="C301" s="2">
        <f>IFERROR(VLOOKUP(A301,'Cadastro Geral Campistas'!$A:$R,5,0),"")</f>
        <v/>
      </c>
      <c r="D301" s="2">
        <f>IFERROR(VLOOKUP(A301,'Cadastro Geral Campistas'!$A:$R,6,0),"")</f>
        <v/>
      </c>
      <c r="E301" s="2">
        <f>IFERROR(VLOOKUP(A301,'Cadastro Geral Campistas'!$A:$R,7,0),"")</f>
        <v/>
      </c>
      <c r="F301" s="3">
        <f>IFERROR(VLOOKUP(A301,'Cadastro Geral Campistas'!$A:$R,9,0),"")</f>
        <v/>
      </c>
      <c r="G301" s="2">
        <f>IFERROR(VLOOKUP(A301,'Cadastro Geral Campistas'!$A:$R,3,0),"")</f>
        <v/>
      </c>
      <c r="H301" s="3">
        <f>IFERROR(VLOOKUP(A301,'Cadastro Geral Campistas'!$A:$R,8,0),"")</f>
        <v/>
      </c>
      <c r="I301" s="103">
        <f>IF(AND(IFERROR(VLOOKUP(A301,'Cadastro Geral Campistas'!$A:$R,18,0),0)&gt;0,COUNTIF($A$289:$A$304,IFERROR(VLOOKUP(A301,'Cadastro Geral Campistas'!$A:$R,18,0),0))&gt;0),"⚠️ CONFLITO! Cônjuge na mesma tribo: "&amp;IFERROR(VLOOKUP(IFERROR(VLOOKUP(A301,'Cadastro Geral Campistas'!$A:$R,18,0),0),'Cadastro Geral Campistas'!$A:$R,2,""),""),TRIM(IF(AND(IFERROR(VLOOKUP(A301,'Cadastro Geral Campistas'!$A:$R,10,0),"")&lt;&gt;"",LOWER(TRIM(IFERROR(VLOOKUP(A301,'Cadastro Geral Campistas'!$A:$R,10,0),"")))&lt;&gt;"não",LOWER(TRIM(IFERROR(VLOOKUP(A301,'Cadastro Geral Campistas'!$A:$R,10,0),"")))&lt;&gt;"nao",LOWER(TRIM(IFERROR(VLOOKUP(A301,'Cadastro Geral Campistas'!$A:$R,10,0),"")))&lt;&gt;"0"),IFERROR(VLOOKUP(A301,'Cadastro Geral Campistas'!$A:$R,10,0),"")&amp;IF(AND(IFERROR(VLOOKUP(A301,'Cadastro Geral Campistas'!$A:$R,15,0),"")&lt;&gt;"",LOWER(TRIM(IFERROR(VLOOKUP(A301,'Cadastro Geral Campistas'!$A:$R,15,0),"")))&lt;&gt;"não",LOWER(TRIM(IFERROR(VLOOKUP(A301,'Cadastro Geral Campistas'!$A:$R,15,0),"")))&lt;&gt;"nao",LOWER(TRIM(IFERROR(VLOOKUP(A301,'Cadastro Geral Campistas'!$A:$R,15,0),"")))&lt;&gt;"0")," | Alergia: "&amp;IFERROR(VLOOKUP(A301,'Cadastro Geral Campistas'!$A:$R,15,0),""),""),IF(AND(IFERROR(VLOOKUP(A301,'Cadastro Geral Campistas'!$A:$R,15,0),"")&lt;&gt;"",LOWER(TRIM(IFERROR(VLOOKUP(A301,'Cadastro Geral Campistas'!$A:$R,15,0),"")))&lt;&gt;"não",LOWER(TRIM(IFERROR(VLOOKUP(A301,'Cadastro Geral Campistas'!$A:$R,15,0),"")))&lt;&gt;"nao",LOWER(TRIM(IFERROR(VLOOKUP(A301,'Cadastro Geral Campistas'!$A:$R,15,0),"")))&lt;&gt;"0"),"Alergia: "&amp;IFERROR(VLOOKUP(A301,'Cadastro Geral Campistas'!$A:$R,15,0),""),""))))</f>
        <v/>
      </c>
      <c r="J301" s="56">
        <f>IFERROR(VLOOKUP(A301,'Cadastro Geral Campistas'!$A:$R,4,0),"")</f>
        <v/>
      </c>
    </row>
    <row r="302" ht="18" customHeight="1" s="121">
      <c r="A302" s="55" t="n">
        <v>92</v>
      </c>
      <c r="B302" s="3">
        <f>IFERROR(VLOOKUP(A302,'Cadastro Geral Campistas'!$A:$R,2,0),"")</f>
        <v/>
      </c>
      <c r="C302" s="2">
        <f>IFERROR(VLOOKUP(A302,'Cadastro Geral Campistas'!$A:$R,5,0),"")</f>
        <v/>
      </c>
      <c r="D302" s="2">
        <f>IFERROR(VLOOKUP(A302,'Cadastro Geral Campistas'!$A:$R,6,0),"")</f>
        <v/>
      </c>
      <c r="E302" s="2">
        <f>IFERROR(VLOOKUP(A302,'Cadastro Geral Campistas'!$A:$R,7,0),"")</f>
        <v/>
      </c>
      <c r="F302" s="3">
        <f>IFERROR(VLOOKUP(A302,'Cadastro Geral Campistas'!$A:$R,9,0),"")</f>
        <v/>
      </c>
      <c r="G302" s="2">
        <f>IFERROR(VLOOKUP(A302,'Cadastro Geral Campistas'!$A:$R,3,0),"")</f>
        <v/>
      </c>
      <c r="H302" s="3">
        <f>IFERROR(VLOOKUP(A302,'Cadastro Geral Campistas'!$A:$R,8,0),"")</f>
        <v/>
      </c>
      <c r="I302" s="103">
        <f>IF(AND(IFERROR(VLOOKUP(A302,'Cadastro Geral Campistas'!$A:$R,18,0),0)&gt;0,COUNTIF($A$289:$A$304,IFERROR(VLOOKUP(A302,'Cadastro Geral Campistas'!$A:$R,18,0),0))&gt;0),"⚠️ CONFLITO! Cônjuge na mesma tribo: "&amp;IFERROR(VLOOKUP(IFERROR(VLOOKUP(A302,'Cadastro Geral Campistas'!$A:$R,18,0),0),'Cadastro Geral Campistas'!$A:$R,2,""),""),TRIM(IF(AND(IFERROR(VLOOKUP(A302,'Cadastro Geral Campistas'!$A:$R,10,0),"")&lt;&gt;"",LOWER(TRIM(IFERROR(VLOOKUP(A302,'Cadastro Geral Campistas'!$A:$R,10,0),"")))&lt;&gt;"não",LOWER(TRIM(IFERROR(VLOOKUP(A302,'Cadastro Geral Campistas'!$A:$R,10,0),"")))&lt;&gt;"nao",LOWER(TRIM(IFERROR(VLOOKUP(A302,'Cadastro Geral Campistas'!$A:$R,10,0),"")))&lt;&gt;"0"),IFERROR(VLOOKUP(A302,'Cadastro Geral Campistas'!$A:$R,10,0),"")&amp;IF(AND(IFERROR(VLOOKUP(A302,'Cadastro Geral Campistas'!$A:$R,15,0),"")&lt;&gt;"",LOWER(TRIM(IFERROR(VLOOKUP(A302,'Cadastro Geral Campistas'!$A:$R,15,0),"")))&lt;&gt;"não",LOWER(TRIM(IFERROR(VLOOKUP(A302,'Cadastro Geral Campistas'!$A:$R,15,0),"")))&lt;&gt;"nao",LOWER(TRIM(IFERROR(VLOOKUP(A302,'Cadastro Geral Campistas'!$A:$R,15,0),"")))&lt;&gt;"0")," | Alergia: "&amp;IFERROR(VLOOKUP(A302,'Cadastro Geral Campistas'!$A:$R,15,0),""),""),IF(AND(IFERROR(VLOOKUP(A302,'Cadastro Geral Campistas'!$A:$R,15,0),"")&lt;&gt;"",LOWER(TRIM(IFERROR(VLOOKUP(A302,'Cadastro Geral Campistas'!$A:$R,15,0),"")))&lt;&gt;"não",LOWER(TRIM(IFERROR(VLOOKUP(A302,'Cadastro Geral Campistas'!$A:$R,15,0),"")))&lt;&gt;"nao",LOWER(TRIM(IFERROR(VLOOKUP(A302,'Cadastro Geral Campistas'!$A:$R,15,0),"")))&lt;&gt;"0"),"Alergia: "&amp;IFERROR(VLOOKUP(A302,'Cadastro Geral Campistas'!$A:$R,15,0),""),""))))</f>
        <v/>
      </c>
      <c r="J302" s="56">
        <f>IFERROR(VLOOKUP(A302,'Cadastro Geral Campistas'!$A:$R,4,0),"")</f>
        <v/>
      </c>
    </row>
    <row r="303" ht="18" customHeight="1" s="121">
      <c r="A303" s="57" t="n">
        <v>94</v>
      </c>
      <c r="B303" s="7">
        <f>IFERROR(VLOOKUP(A303,'Cadastro Geral Campistas'!$A:$R,2,0),"")</f>
        <v/>
      </c>
      <c r="C303" s="6">
        <f>IFERROR(VLOOKUP(A303,'Cadastro Geral Campistas'!$A:$R,5,0),"")</f>
        <v/>
      </c>
      <c r="D303" s="6">
        <f>IFERROR(VLOOKUP(A303,'Cadastro Geral Campistas'!$A:$R,6,0),"")</f>
        <v/>
      </c>
      <c r="E303" s="6">
        <f>IFERROR(VLOOKUP(A303,'Cadastro Geral Campistas'!$A:$R,7,0),"")</f>
        <v/>
      </c>
      <c r="F303" s="7">
        <f>IFERROR(VLOOKUP(A303,'Cadastro Geral Campistas'!$A:$R,9,0),"")</f>
        <v/>
      </c>
      <c r="G303" s="6">
        <f>IFERROR(VLOOKUP(A303,'Cadastro Geral Campistas'!$A:$R,3,0),"")</f>
        <v/>
      </c>
      <c r="H303" s="7">
        <f>IFERROR(VLOOKUP(A303,'Cadastro Geral Campistas'!$A:$R,8,0),"")</f>
        <v/>
      </c>
      <c r="I303" s="101">
        <f>IF(AND(IFERROR(VLOOKUP(A303,'Cadastro Geral Campistas'!$A:$R,18,0),0)&gt;0,COUNTIF($A$289:$A$304,IFERROR(VLOOKUP(A303,'Cadastro Geral Campistas'!$A:$R,18,0),0))&gt;0),"⚠️ CONFLITO! Cônjuge na mesma tribo: "&amp;IFERROR(VLOOKUP(IFERROR(VLOOKUP(A303,'Cadastro Geral Campistas'!$A:$R,18,0),0),'Cadastro Geral Campistas'!$A:$R,2,""),""),TRIM(IF(AND(IFERROR(VLOOKUP(A303,'Cadastro Geral Campistas'!$A:$R,10,0),"")&lt;&gt;"",LOWER(TRIM(IFERROR(VLOOKUP(A303,'Cadastro Geral Campistas'!$A:$R,10,0),"")))&lt;&gt;"não",LOWER(TRIM(IFERROR(VLOOKUP(A303,'Cadastro Geral Campistas'!$A:$R,10,0),"")))&lt;&gt;"nao",LOWER(TRIM(IFERROR(VLOOKUP(A303,'Cadastro Geral Campistas'!$A:$R,10,0),"")))&lt;&gt;"0"),IFERROR(VLOOKUP(A303,'Cadastro Geral Campistas'!$A:$R,10,0),"")&amp;IF(AND(IFERROR(VLOOKUP(A303,'Cadastro Geral Campistas'!$A:$R,15,0),"")&lt;&gt;"",LOWER(TRIM(IFERROR(VLOOKUP(A303,'Cadastro Geral Campistas'!$A:$R,15,0),"")))&lt;&gt;"não",LOWER(TRIM(IFERROR(VLOOKUP(A303,'Cadastro Geral Campistas'!$A:$R,15,0),"")))&lt;&gt;"nao",LOWER(TRIM(IFERROR(VLOOKUP(A303,'Cadastro Geral Campistas'!$A:$R,15,0),"")))&lt;&gt;"0")," | Alergia: "&amp;IFERROR(VLOOKUP(A303,'Cadastro Geral Campistas'!$A:$R,15,0),""),""),IF(AND(IFERROR(VLOOKUP(A303,'Cadastro Geral Campistas'!$A:$R,15,0),"")&lt;&gt;"",LOWER(TRIM(IFERROR(VLOOKUP(A303,'Cadastro Geral Campistas'!$A:$R,15,0),"")))&lt;&gt;"não",LOWER(TRIM(IFERROR(VLOOKUP(A303,'Cadastro Geral Campistas'!$A:$R,15,0),"")))&lt;&gt;"nao",LOWER(TRIM(IFERROR(VLOOKUP(A303,'Cadastro Geral Campistas'!$A:$R,15,0),"")))&lt;&gt;"0"),"Alergia: "&amp;IFERROR(VLOOKUP(A303,'Cadastro Geral Campistas'!$A:$R,15,0),""),""))))</f>
        <v/>
      </c>
      <c r="J303" s="58">
        <f>IFERROR(VLOOKUP(A303,'Cadastro Geral Campistas'!$A:$R,4,0),"")</f>
        <v/>
      </c>
    </row>
    <row r="304" ht="18" customHeight="1" s="121">
      <c r="A304" s="57" t="inlineStr"/>
      <c r="B304" s="7">
        <f>IFERROR(VLOOKUP(A304,'Cadastro Geral Campistas'!$A:$R,2,0),"")</f>
        <v/>
      </c>
      <c r="C304" s="6">
        <f>IFERROR(VLOOKUP(A304,'Cadastro Geral Campistas'!$A:$R,5,0),"")</f>
        <v/>
      </c>
      <c r="D304" s="6">
        <f>IFERROR(VLOOKUP(A304,'Cadastro Geral Campistas'!$A:$R,6,0),"")</f>
        <v/>
      </c>
      <c r="E304" s="6">
        <f>IFERROR(VLOOKUP(A304,'Cadastro Geral Campistas'!$A:$R,7,0),"")</f>
        <v/>
      </c>
      <c r="F304" s="7">
        <f>IFERROR(VLOOKUP(A304,'Cadastro Geral Campistas'!$A:$R,9,0),"")</f>
        <v/>
      </c>
      <c r="G304" s="6">
        <f>IFERROR(VLOOKUP(A304,'Cadastro Geral Campistas'!$A:$R,3,0),"")</f>
        <v/>
      </c>
      <c r="H304" s="7">
        <f>IFERROR(VLOOKUP(A304,'Cadastro Geral Campistas'!$A:$R,8,0),"")</f>
        <v/>
      </c>
      <c r="I304" s="101">
        <f>IF(AND(IFERROR(VLOOKUP(A304,'Cadastro Geral Campistas'!$A:$R,18,0),0)&gt;0,COUNTIF($A$289:$A$304,IFERROR(VLOOKUP(A304,'Cadastro Geral Campistas'!$A:$R,18,0),0))&gt;0),"⚠️ CONFLITO! Cônjuge na mesma tribo: "&amp;IFERROR(VLOOKUP(IFERROR(VLOOKUP(A304,'Cadastro Geral Campistas'!$A:$R,18,0),0),'Cadastro Geral Campistas'!$A:$R,2,""),""),TRIM(IF(AND(IFERROR(VLOOKUP(A304,'Cadastro Geral Campistas'!$A:$R,10,0),"")&lt;&gt;"",LOWER(TRIM(IFERROR(VLOOKUP(A304,'Cadastro Geral Campistas'!$A:$R,10,0),"")))&lt;&gt;"não",LOWER(TRIM(IFERROR(VLOOKUP(A304,'Cadastro Geral Campistas'!$A:$R,10,0),"")))&lt;&gt;"nao",LOWER(TRIM(IFERROR(VLOOKUP(A304,'Cadastro Geral Campistas'!$A:$R,10,0),"")))&lt;&gt;"0"),IFERROR(VLOOKUP(A304,'Cadastro Geral Campistas'!$A:$R,10,0),"")&amp;IF(AND(IFERROR(VLOOKUP(A304,'Cadastro Geral Campistas'!$A:$R,15,0),"")&lt;&gt;"",LOWER(TRIM(IFERROR(VLOOKUP(A304,'Cadastro Geral Campistas'!$A:$R,15,0),"")))&lt;&gt;"não",LOWER(TRIM(IFERROR(VLOOKUP(A304,'Cadastro Geral Campistas'!$A:$R,15,0),"")))&lt;&gt;"nao",LOWER(TRIM(IFERROR(VLOOKUP(A304,'Cadastro Geral Campistas'!$A:$R,15,0),"")))&lt;&gt;"0")," | Alergia: "&amp;IFERROR(VLOOKUP(A304,'Cadastro Geral Campistas'!$A:$R,15,0),""),""),IF(AND(IFERROR(VLOOKUP(A304,'Cadastro Geral Campistas'!$A:$R,15,0),"")&lt;&gt;"",LOWER(TRIM(IFERROR(VLOOKUP(A304,'Cadastro Geral Campistas'!$A:$R,15,0),"")))&lt;&gt;"não",LOWER(TRIM(IFERROR(VLOOKUP(A304,'Cadastro Geral Campistas'!$A:$R,15,0),"")))&lt;&gt;"nao",LOWER(TRIM(IFERROR(VLOOKUP(A304,'Cadastro Geral Campistas'!$A:$R,15,0),"")))&lt;&gt;"0"),"Alergia: "&amp;IFERROR(VLOOKUP(A304,'Cadastro Geral Campistas'!$A:$R,15,0),""),""))))</f>
        <v/>
      </c>
      <c r="J304" s="58">
        <f>IFERROR(VLOOKUP(A304,'Cadastro Geral Campistas'!$A:$R,4,0),"")</f>
        <v/>
      </c>
    </row>
    <row r="305">
      <c r="A305" s="61" t="inlineStr">
        <is>
          <t>MÉDIA&gt;&gt;&gt;&gt;&gt;&gt;&gt;&gt;&gt;</t>
        </is>
      </c>
      <c r="B305" s="20" t="n"/>
      <c r="C305" s="20">
        <f>IFERROR(ROUND(AVERAGE(C289:C304),1),"")</f>
        <v/>
      </c>
      <c r="D305" s="20" t="n"/>
      <c r="E305" s="20">
        <f>IFERROR(ROUND(AVERAGE(E289:E304),1),"")</f>
        <v/>
      </c>
      <c r="F305" s="116" t="n"/>
      <c r="G305" s="202" t="n"/>
      <c r="H305" s="202" t="n"/>
      <c r="I305" s="126">
        <f>COUNTIF(J289:J304,"F")&amp;"  F    |    "&amp;COUNTIF(J289:J304,"M")&amp;"  M"</f>
        <v/>
      </c>
      <c r="J305" s="127" t="n"/>
    </row>
    <row r="306">
      <c r="A306" s="118" t="n"/>
      <c r="B306" s="119" t="n"/>
      <c r="C306" s="119" t="n"/>
      <c r="D306" s="119" t="n"/>
      <c r="E306" s="119" t="n"/>
      <c r="F306" s="119" t="n"/>
      <c r="G306" s="119" t="n"/>
      <c r="H306" s="119" t="n"/>
      <c r="I306" s="138" t="inlineStr">
        <is>
          <t>Sequências das dinâmicas:</t>
        </is>
      </c>
      <c r="J306" s="131" t="n"/>
    </row>
    <row r="307">
      <c r="A307" s="120" t="n"/>
      <c r="I307" s="124" t="inlineStr">
        <is>
          <t>1 - Paredão</t>
        </is>
      </c>
      <c r="J307" s="125" t="n"/>
    </row>
    <row r="308">
      <c r="A308" s="120" t="n"/>
      <c r="I308" s="124" t="inlineStr">
        <is>
          <t>2 - Casa do Pai</t>
        </is>
      </c>
      <c r="J308" s="125" t="n"/>
    </row>
    <row r="309">
      <c r="A309" s="120" t="n"/>
      <c r="I309" s="124" t="inlineStr">
        <is>
          <t>3 - Espelho</t>
        </is>
      </c>
      <c r="J309" s="125" t="n"/>
    </row>
    <row r="310">
      <c r="A310" s="120" t="n"/>
      <c r="I310" s="124" t="inlineStr">
        <is>
          <t>4 - Balanço</t>
        </is>
      </c>
      <c r="J310" s="125" t="n"/>
    </row>
    <row r="311">
      <c r="A311" s="120" t="n"/>
      <c r="I311" s="124" t="inlineStr">
        <is>
          <t>5 - Casa de Maria</t>
        </is>
      </c>
      <c r="J311" s="125" t="n"/>
    </row>
    <row r="312">
      <c r="A312" s="120" t="n"/>
      <c r="I312" s="124" t="inlineStr">
        <is>
          <t>6 - Salto da Fé</t>
        </is>
      </c>
      <c r="J312" s="125" t="n"/>
    </row>
    <row r="313">
      <c r="A313" s="120" t="n"/>
      <c r="I313" s="124" t="inlineStr">
        <is>
          <t>7 - Cabana</t>
        </is>
      </c>
      <c r="J313" s="125" t="n"/>
    </row>
    <row r="314">
      <c r="A314" s="120" t="n"/>
      <c r="I314" s="124" t="inlineStr">
        <is>
          <t>8 - Casa da Misericórdia</t>
        </is>
      </c>
      <c r="J314" s="125" t="n"/>
    </row>
    <row r="315" ht="14.7" customHeight="1" s="121" thickBot="1">
      <c r="A315" s="122" t="n"/>
      <c r="B315" s="123" t="n"/>
      <c r="C315" s="123" t="n"/>
      <c r="D315" s="123" t="n"/>
      <c r="E315" s="123" t="n"/>
      <c r="F315" s="123" t="n"/>
      <c r="G315" s="123" t="n"/>
      <c r="H315" s="123" t="n"/>
      <c r="I315" s="62" t="inlineStr">
        <is>
          <t>9 - Metrô</t>
        </is>
      </c>
      <c r="J315" s="133" t="n"/>
    </row>
  </sheetData>
  <mergeCells count="192">
    <mergeCell ref="A166:H175"/>
    <mergeCell ref="I168:J168"/>
    <mergeCell ref="A61:H70"/>
    <mergeCell ref="I208:J208"/>
    <mergeCell ref="I95:J95"/>
    <mergeCell ref="I104:J104"/>
    <mergeCell ref="I275:J275"/>
    <mergeCell ref="I136:J136"/>
    <mergeCell ref="D177:F182"/>
    <mergeCell ref="I272:J272"/>
    <mergeCell ref="I26:J26"/>
    <mergeCell ref="I210:J210"/>
    <mergeCell ref="I237:J237"/>
    <mergeCell ref="A271:H280"/>
    <mergeCell ref="I277:J277"/>
    <mergeCell ref="G40:J40"/>
    <mergeCell ref="A176:D176"/>
    <mergeCell ref="I200:J200"/>
    <mergeCell ref="I209:J209"/>
    <mergeCell ref="I25:J25"/>
    <mergeCell ref="I203:J203"/>
    <mergeCell ref="A181:C181"/>
    <mergeCell ref="I239:J239"/>
    <mergeCell ref="I66:J66"/>
    <mergeCell ref="I131:J131"/>
    <mergeCell ref="A2:J3"/>
    <mergeCell ref="I307:J307"/>
    <mergeCell ref="I171:J171"/>
    <mergeCell ref="G282:J284"/>
    <mergeCell ref="G145:J145"/>
    <mergeCell ref="I238:J238"/>
    <mergeCell ref="A26:H35"/>
    <mergeCell ref="A131:H140"/>
    <mergeCell ref="D39:F41"/>
    <mergeCell ref="I173:J173"/>
    <mergeCell ref="D110:F112"/>
    <mergeCell ref="I170:J170"/>
    <mergeCell ref="I236:J236"/>
    <mergeCell ref="I166:J166"/>
    <mergeCell ref="E71:J71"/>
    <mergeCell ref="G251:J252"/>
    <mergeCell ref="A110:C110"/>
    <mergeCell ref="I172:J172"/>
    <mergeCell ref="A6:C6"/>
    <mergeCell ref="I270:J270"/>
    <mergeCell ref="I279:J279"/>
    <mergeCell ref="I202:J202"/>
    <mergeCell ref="I69:J69"/>
    <mergeCell ref="I30:J30"/>
    <mergeCell ref="A212:C214"/>
    <mergeCell ref="E1:J1"/>
    <mergeCell ref="A201:H210"/>
    <mergeCell ref="A141:D141"/>
    <mergeCell ref="G110:J110"/>
    <mergeCell ref="G215:J215"/>
    <mergeCell ref="A75:C75"/>
    <mergeCell ref="I133:J133"/>
    <mergeCell ref="I61:J61"/>
    <mergeCell ref="I306:J306"/>
    <mergeCell ref="I135:J135"/>
    <mergeCell ref="G75:J75"/>
    <mergeCell ref="I175:J175"/>
    <mergeCell ref="I242:J242"/>
    <mergeCell ref="A5:C5"/>
    <mergeCell ref="A247:C249"/>
    <mergeCell ref="E36:J36"/>
    <mergeCell ref="I32:J32"/>
    <mergeCell ref="I134:J134"/>
    <mergeCell ref="A306:H315"/>
    <mergeCell ref="I243:J243"/>
    <mergeCell ref="I305:J305"/>
    <mergeCell ref="E281:J281"/>
    <mergeCell ref="A37:J38"/>
    <mergeCell ref="I96:J96"/>
    <mergeCell ref="G142:I144"/>
    <mergeCell ref="K61:L70"/>
    <mergeCell ref="A72:C74"/>
    <mergeCell ref="E246:J246"/>
    <mergeCell ref="I33:J33"/>
    <mergeCell ref="A40:C40"/>
    <mergeCell ref="I98:J98"/>
    <mergeCell ref="A7:J7"/>
    <mergeCell ref="I309:J309"/>
    <mergeCell ref="A77:I77"/>
    <mergeCell ref="I244:J244"/>
    <mergeCell ref="I201:J201"/>
    <mergeCell ref="I241:J241"/>
    <mergeCell ref="I35:J35"/>
    <mergeCell ref="A96:H105"/>
    <mergeCell ref="I240:J240"/>
    <mergeCell ref="I311:J311"/>
    <mergeCell ref="I138:J138"/>
    <mergeCell ref="G285:J285"/>
    <mergeCell ref="A250:C250"/>
    <mergeCell ref="I308:J308"/>
    <mergeCell ref="A146:C146"/>
    <mergeCell ref="I99:J99"/>
    <mergeCell ref="A71:D71"/>
    <mergeCell ref="I60:J60"/>
    <mergeCell ref="A42:J42"/>
    <mergeCell ref="A252:C252"/>
    <mergeCell ref="I140:J140"/>
    <mergeCell ref="D212:F217"/>
    <mergeCell ref="I310:J310"/>
    <mergeCell ref="I174:J174"/>
    <mergeCell ref="A286:C286"/>
    <mergeCell ref="G107:I109"/>
    <mergeCell ref="G250:J250"/>
    <mergeCell ref="G177:J179"/>
    <mergeCell ref="I207:J207"/>
    <mergeCell ref="E211:J211"/>
    <mergeCell ref="I204:J204"/>
    <mergeCell ref="G212:J214"/>
    <mergeCell ref="I271:J271"/>
    <mergeCell ref="D142:F147"/>
    <mergeCell ref="D4:F6"/>
    <mergeCell ref="I103:J103"/>
    <mergeCell ref="A215:C215"/>
    <mergeCell ref="I97:J97"/>
    <mergeCell ref="I273:J273"/>
    <mergeCell ref="I313:J313"/>
    <mergeCell ref="G146:J147"/>
    <mergeCell ref="A36:D36"/>
    <mergeCell ref="I165:J165"/>
    <mergeCell ref="A1:D1"/>
    <mergeCell ref="A112:C112"/>
    <mergeCell ref="G216:J217"/>
    <mergeCell ref="I205:J205"/>
    <mergeCell ref="D247:F252"/>
    <mergeCell ref="A281:D281"/>
    <mergeCell ref="G247:J249"/>
    <mergeCell ref="I62:J62"/>
    <mergeCell ref="A246:D246"/>
    <mergeCell ref="I64:J64"/>
    <mergeCell ref="A142:C144"/>
    <mergeCell ref="I245:J245"/>
    <mergeCell ref="I63:J63"/>
    <mergeCell ref="I137:J137"/>
    <mergeCell ref="I65:J65"/>
    <mergeCell ref="G111:J112"/>
    <mergeCell ref="I34:J34"/>
    <mergeCell ref="A41:C41"/>
    <mergeCell ref="I105:J105"/>
    <mergeCell ref="A106:D106"/>
    <mergeCell ref="A217:C217"/>
    <mergeCell ref="I276:J276"/>
    <mergeCell ref="D76:I76"/>
    <mergeCell ref="I139:J139"/>
    <mergeCell ref="A145:C145"/>
    <mergeCell ref="I27:J27"/>
    <mergeCell ref="E176:J176"/>
    <mergeCell ref="I278:J278"/>
    <mergeCell ref="A285:C285"/>
    <mergeCell ref="A177:C179"/>
    <mergeCell ref="G41:J41"/>
    <mergeCell ref="I101:J101"/>
    <mergeCell ref="A251:C251"/>
    <mergeCell ref="A211:D211"/>
    <mergeCell ref="A76:C76"/>
    <mergeCell ref="A236:H245"/>
    <mergeCell ref="I100:J100"/>
    <mergeCell ref="A282:F284"/>
    <mergeCell ref="G72:J74"/>
    <mergeCell ref="I28:J28"/>
    <mergeCell ref="I206:J206"/>
    <mergeCell ref="A180:C180"/>
    <mergeCell ref="I102:J102"/>
    <mergeCell ref="I130:J130"/>
    <mergeCell ref="I68:J68"/>
    <mergeCell ref="A111:C111"/>
    <mergeCell ref="I235:J235"/>
    <mergeCell ref="D285:F287"/>
    <mergeCell ref="I67:J67"/>
    <mergeCell ref="I132:J132"/>
    <mergeCell ref="I167:J167"/>
    <mergeCell ref="I312:J312"/>
    <mergeCell ref="E106:J106"/>
    <mergeCell ref="G6:J6"/>
    <mergeCell ref="D72:F75"/>
    <mergeCell ref="I29:J29"/>
    <mergeCell ref="G286:J287"/>
    <mergeCell ref="A216:C216"/>
    <mergeCell ref="A107:F109"/>
    <mergeCell ref="A287:C287"/>
    <mergeCell ref="I169:J169"/>
    <mergeCell ref="I280:J280"/>
    <mergeCell ref="I274:J274"/>
    <mergeCell ref="I314:J314"/>
    <mergeCell ref="E141:J141"/>
    <mergeCell ref="I31:J31"/>
    <mergeCell ref="G180:J180"/>
    <mergeCell ref="G5:J5"/>
  </mergeCells>
  <conditionalFormatting sqref="C25">
    <cfRule type="expression" priority="5" dxfId="1">
      <formula>ABS(C25-76.5)&gt;5</formula>
    </cfRule>
    <cfRule type="expression" priority="5" dxfId="0">
      <formula>ABS(C25-76.5)&lt;=5</formula>
    </cfRule>
  </conditionalFormatting>
  <conditionalFormatting sqref="C60">
    <cfRule type="expression" priority="10" dxfId="1">
      <formula>ABS(C60-76.5)&gt;5</formula>
    </cfRule>
    <cfRule type="expression" priority="10" dxfId="0">
      <formula>ABS(C60-76.5)&lt;=5</formula>
    </cfRule>
  </conditionalFormatting>
  <conditionalFormatting sqref="C95">
    <cfRule type="expression" priority="15" dxfId="0">
      <formula>ABS(C95-76.5)&lt;=5</formula>
    </cfRule>
    <cfRule type="expression" priority="15" dxfId="1">
      <formula>ABS(C95-76.5)&gt;5</formula>
    </cfRule>
  </conditionalFormatting>
  <conditionalFormatting sqref="C130">
    <cfRule type="expression" priority="20" dxfId="0">
      <formula>ABS(C130-76.5)&lt;=5</formula>
    </cfRule>
    <cfRule type="expression" priority="20" dxfId="1">
      <formula>ABS(C130-76.5)&gt;5</formula>
    </cfRule>
  </conditionalFormatting>
  <conditionalFormatting sqref="C165">
    <cfRule type="expression" priority="25" dxfId="0">
      <formula>ABS(C165-76.5)&lt;=5</formula>
    </cfRule>
    <cfRule type="expression" priority="25" dxfId="1">
      <formula>ABS(C165-76.5)&gt;5</formula>
    </cfRule>
  </conditionalFormatting>
  <conditionalFormatting sqref="C200">
    <cfRule type="expression" priority="30" dxfId="0">
      <formula>ABS(C200-76.5)&lt;=5</formula>
    </cfRule>
    <cfRule type="expression" priority="30" dxfId="1">
      <formula>ABS(C200-76.5)&gt;5</formula>
    </cfRule>
  </conditionalFormatting>
  <conditionalFormatting sqref="C235">
    <cfRule type="expression" priority="35" dxfId="1">
      <formula>ABS(C235-76.5)&gt;5</formula>
    </cfRule>
    <cfRule type="expression" priority="35" dxfId="0">
      <formula>ABS(C235-76.5)&lt;=5</formula>
    </cfRule>
  </conditionalFormatting>
  <conditionalFormatting sqref="C270">
    <cfRule type="expression" priority="40" dxfId="0">
      <formula>ABS(C270-76.5)&lt;=5</formula>
    </cfRule>
    <cfRule type="expression" priority="40" dxfId="1">
      <formula>ABS(C270-76.5)&gt;5</formula>
    </cfRule>
  </conditionalFormatting>
  <conditionalFormatting sqref="C305">
    <cfRule type="expression" priority="45" dxfId="0">
      <formula>ABS(C305-76.5)&lt;=5</formula>
    </cfRule>
    <cfRule type="expression" priority="45" dxfId="1">
      <formula>ABS(C305-76.5)&gt;5</formula>
    </cfRule>
  </conditionalFormatting>
  <conditionalFormatting sqref="E25">
    <cfRule type="expression" priority="6" dxfId="1">
      <formula>ABS(E25-40.7)&gt;5</formula>
    </cfRule>
    <cfRule type="expression" priority="6" dxfId="0">
      <formula>ABS(E25-40.7)&lt;=5</formula>
    </cfRule>
  </conditionalFormatting>
  <conditionalFormatting sqref="E60">
    <cfRule type="expression" priority="11" dxfId="1">
      <formula>ABS(E60-40.7)&gt;5</formula>
    </cfRule>
    <cfRule type="expression" priority="11" dxfId="0">
      <formula>ABS(E60-40.7)&lt;=5</formula>
    </cfRule>
  </conditionalFormatting>
  <conditionalFormatting sqref="E95">
    <cfRule type="expression" priority="16" dxfId="1">
      <formula>ABS(E95-40.7)&gt;5</formula>
    </cfRule>
    <cfRule type="expression" priority="16" dxfId="0">
      <formula>ABS(E95-40.7)&lt;=5</formula>
    </cfRule>
  </conditionalFormatting>
  <conditionalFormatting sqref="E130">
    <cfRule type="expression" priority="21" dxfId="0">
      <formula>ABS(E130-40.7)&lt;=5</formula>
    </cfRule>
    <cfRule type="expression" priority="21" dxfId="1">
      <formula>ABS(E130-40.7)&gt;5</formula>
    </cfRule>
  </conditionalFormatting>
  <conditionalFormatting sqref="E165">
    <cfRule type="expression" priority="26" dxfId="1">
      <formula>ABS(E165-40.7)&gt;5</formula>
    </cfRule>
    <cfRule type="expression" priority="26" dxfId="0">
      <formula>ABS(E165-40.7)&lt;=5</formula>
    </cfRule>
  </conditionalFormatting>
  <conditionalFormatting sqref="E200">
    <cfRule type="expression" priority="31" dxfId="0">
      <formula>ABS(E200-40.7)&lt;=5</formula>
    </cfRule>
    <cfRule type="expression" priority="31" dxfId="1">
      <formula>ABS(E200-40.7)&gt;5</formula>
    </cfRule>
  </conditionalFormatting>
  <conditionalFormatting sqref="E235">
    <cfRule type="expression" priority="36" dxfId="1">
      <formula>ABS(E235-40.7)&gt;5</formula>
    </cfRule>
    <cfRule type="expression" priority="36" dxfId="0">
      <formula>ABS(E235-40.7)&lt;=5</formula>
    </cfRule>
  </conditionalFormatting>
  <conditionalFormatting sqref="E270">
    <cfRule type="expression" priority="41" dxfId="1">
      <formula>ABS(E270-40.7)&gt;5</formula>
    </cfRule>
    <cfRule type="expression" priority="41" dxfId="0">
      <formula>ABS(E270-40.7)&lt;=5</formula>
    </cfRule>
  </conditionalFormatting>
  <conditionalFormatting sqref="E305">
    <cfRule type="expression" priority="46" dxfId="1">
      <formula>ABS(E305-40.7)&gt;5</formula>
    </cfRule>
    <cfRule type="expression" priority="46" dxfId="0">
      <formula>ABS(E305-40.7)&lt;=5</formula>
    </cfRule>
  </conditionalFormatting>
  <conditionalFormatting sqref="I9:I24">
    <cfRule type="expression" priority="37" dxfId="36" stopIfTrue="1">
      <formula>NOT(ISERROR(SEARCH("⚠",I9)))</formula>
    </cfRule>
    <cfRule type="expression" priority="46" dxfId="36" stopIfTrue="1">
      <formula>NOT(ISERROR(SEARCH("⚠",I9)))</formula>
    </cfRule>
  </conditionalFormatting>
  <conditionalFormatting sqref="I44:I59">
    <cfRule type="expression" priority="38" dxfId="36" stopIfTrue="1">
      <formula>NOT(ISERROR(SEARCH("⚠",I44)))</formula>
    </cfRule>
    <cfRule type="expression" priority="47" dxfId="36" stopIfTrue="1">
      <formula>NOT(ISERROR(SEARCH("⚠",I44)))</formula>
    </cfRule>
  </conditionalFormatting>
  <conditionalFormatting sqref="I79:I94">
    <cfRule type="expression" priority="39" dxfId="36" stopIfTrue="1">
      <formula>NOT(ISERROR(SEARCH("⚠",I79)))</formula>
    </cfRule>
    <cfRule type="expression" priority="48" dxfId="36" stopIfTrue="1">
      <formula>NOT(ISERROR(SEARCH("⚠",I79)))</formula>
    </cfRule>
  </conditionalFormatting>
  <conditionalFormatting sqref="I114:I129">
    <cfRule type="expression" priority="40" dxfId="36" stopIfTrue="1">
      <formula>NOT(ISERROR(SEARCH("⚠",I114)))</formula>
    </cfRule>
    <cfRule type="expression" priority="49" dxfId="36" stopIfTrue="1">
      <formula>NOT(ISERROR(SEARCH("⚠",I114)))</formula>
    </cfRule>
  </conditionalFormatting>
  <conditionalFormatting sqref="I149:I164">
    <cfRule type="expression" priority="41" dxfId="36" stopIfTrue="1">
      <formula>NOT(ISERROR(SEARCH("⚠",I149)))</formula>
    </cfRule>
    <cfRule type="expression" priority="50" dxfId="36" stopIfTrue="1">
      <formula>NOT(ISERROR(SEARCH("⚠",I149)))</formula>
    </cfRule>
  </conditionalFormatting>
  <conditionalFormatting sqref="I184:I199">
    <cfRule type="expression" priority="42" dxfId="36" stopIfTrue="1">
      <formula>NOT(ISERROR(SEARCH("⚠",I184)))</formula>
    </cfRule>
    <cfRule type="expression" priority="51" dxfId="36" stopIfTrue="1">
      <formula>NOT(ISERROR(SEARCH("⚠",I184)))</formula>
    </cfRule>
  </conditionalFormatting>
  <conditionalFormatting sqref="I219:I234">
    <cfRule type="expression" priority="43" dxfId="36" stopIfTrue="1">
      <formula>NOT(ISERROR(SEARCH("⚠",I219)))</formula>
    </cfRule>
    <cfRule type="expression" priority="52" dxfId="36" stopIfTrue="1">
      <formula>NOT(ISERROR(SEARCH("⚠",I219)))</formula>
    </cfRule>
  </conditionalFormatting>
  <conditionalFormatting sqref="I254:I269">
    <cfRule type="expression" priority="44" dxfId="36" stopIfTrue="1">
      <formula>NOT(ISERROR(SEARCH("⚠",I254)))</formula>
    </cfRule>
    <cfRule type="expression" priority="53" dxfId="36" stopIfTrue="1">
      <formula>NOT(ISERROR(SEARCH("⚠",I254)))</formula>
    </cfRule>
  </conditionalFormatting>
  <conditionalFormatting sqref="I289:I304">
    <cfRule type="expression" priority="45" dxfId="36" stopIfTrue="1">
      <formula>NOT(ISERROR(SEARCH("⚠",I289)))</formula>
    </cfRule>
    <cfRule type="expression" priority="54" dxfId="36" stopIfTrue="1">
      <formula>NOT(ISERROR(SEARCH("⚠",I289)))</formula>
    </cfRule>
  </conditionalFormatting>
  <pageMargins left="0.35" right="0.35" top="0.4" bottom="0.4" header="0.2" footer="0.2"/>
  <pageSetup orientation="landscape" paperSize="9" scale="66" fitToHeight="0" fitToWidth="1"/>
  <headerFooter>
    <oddHeader>&amp;C&amp;"Arial,Bold"&amp;12 &amp;"Arial,Bold"&amp;12 Acampamento Espírito Empreendedor</oddHeader>
    <oddFooter>&amp;CPágina &amp;P de &amp;N</oddFooter>
    <evenHeader/>
    <evenFooter/>
    <firstHeader/>
    <firstFooter/>
  </headerFooter>
  <rowBreaks count="8" manualBreakCount="8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4"/>
  <sheetViews>
    <sheetView workbookViewId="0">
      <selection activeCell="A1" sqref="A1"/>
    </sheetView>
  </sheetViews>
  <sheetFormatPr baseColWidth="8" defaultRowHeight="15"/>
  <cols>
    <col width="6" customWidth="1" style="121" min="1" max="1"/>
    <col width="32" customWidth="1" style="121" min="2" max="2"/>
    <col width="16" customWidth="1" style="121" min="3" max="3"/>
    <col width="13" customWidth="1" style="121" min="4" max="4"/>
    <col width="6" customWidth="1" style="121" min="5" max="5"/>
    <col width="19" customWidth="1" style="121" min="6" max="6"/>
    <col width="12" customWidth="1" style="121" min="7" max="7"/>
  </cols>
  <sheetData>
    <row r="1" ht="28" customHeight="1" s="121">
      <c r="A1" s="203">
        <f>CONCATENATE("ÔNIBUS 01  —  ",COUNTA(A3:A38)," campistas")</f>
        <v/>
      </c>
    </row>
    <row r="2" ht="22" customHeight="1" s="121">
      <c r="A2" s="204" t="inlineStr">
        <is>
          <t>FC ✏️</t>
        </is>
      </c>
      <c r="B2" s="204" t="inlineStr">
        <is>
          <t>CAMPISTAS</t>
        </is>
      </c>
      <c r="C2" s="204" t="inlineStr">
        <is>
          <t>CIDADE</t>
        </is>
      </c>
      <c r="D2" s="204" t="inlineStr">
        <is>
          <t>TRIBO</t>
        </is>
      </c>
      <c r="E2" s="204" t="inlineStr">
        <is>
          <t>FONE:</t>
        </is>
      </c>
      <c r="F2" s="204" t="inlineStr">
        <is>
          <t>CELULAR</t>
        </is>
      </c>
      <c r="G2" s="204" t="inlineStr">
        <is>
          <t>EMBARCOU ✅</t>
        </is>
      </c>
    </row>
    <row r="3" ht="20" customHeight="1" s="121">
      <c r="A3" s="240" t="n">
        <v>3</v>
      </c>
      <c r="B3" s="252">
        <f>IFERROR(VLOOKUP(A3,'Cadastro Geral Campistas'!$A:$R,2,0),"")</f>
        <v/>
      </c>
      <c r="C3" s="252">
        <f>IFERROR(VLOOKUP(A3,'Cadastro Geral Campistas'!$A:$R,9,0),"")</f>
        <v/>
      </c>
      <c r="D3" s="253">
        <f>IFERROR(VLOOKUP(A3,'Cadastro Geral Campistas'!$A:$R,17,0),"")</f>
        <v/>
      </c>
      <c r="E3" s="254" t="inlineStr"/>
      <c r="F3" s="252">
        <f>IFERROR(VLOOKUP(A3,'Cadastro Geral Campistas'!$A:$R,8,0),"")</f>
        <v/>
      </c>
      <c r="G3" s="209" t="inlineStr"/>
    </row>
    <row r="4" ht="20" customHeight="1" s="121">
      <c r="A4" s="240" t="n">
        <v>100</v>
      </c>
      <c r="B4" s="252">
        <f>IFERROR(VLOOKUP(A4,'Cadastro Geral Campistas'!$A:$R,2,0),"")</f>
        <v/>
      </c>
      <c r="C4" s="252">
        <f>IFERROR(VLOOKUP(A4,'Cadastro Geral Campistas'!$A:$R,9,0),"")</f>
        <v/>
      </c>
      <c r="D4" s="249">
        <f>IFERROR(VLOOKUP(A4,'Cadastro Geral Campistas'!$A:$R,17,0),"")</f>
        <v/>
      </c>
      <c r="E4" s="254" t="inlineStr"/>
      <c r="F4" s="252">
        <f>IFERROR(VLOOKUP(A4,'Cadastro Geral Campistas'!$A:$R,8,0),"")</f>
        <v/>
      </c>
      <c r="G4" s="209" t="inlineStr"/>
    </row>
    <row r="5" ht="20" customHeight="1" s="121">
      <c r="A5" s="240" t="n">
        <v>19</v>
      </c>
      <c r="B5" s="252">
        <f>IFERROR(VLOOKUP(A5,'Cadastro Geral Campistas'!$A:$R,2,0),"")</f>
        <v/>
      </c>
      <c r="C5" s="252">
        <f>IFERROR(VLOOKUP(A5,'Cadastro Geral Campistas'!$A:$R,9,0),"")</f>
        <v/>
      </c>
      <c r="D5" s="255">
        <f>IFERROR(VLOOKUP(A5,'Cadastro Geral Campistas'!$A:$R,17,0),"")</f>
        <v/>
      </c>
      <c r="E5" s="254" t="inlineStr"/>
      <c r="F5" s="252">
        <f>IFERROR(VLOOKUP(A5,'Cadastro Geral Campistas'!$A:$R,8,0),"")</f>
        <v/>
      </c>
      <c r="G5" s="209" t="inlineStr"/>
    </row>
    <row r="6" ht="20" customHeight="1" s="121">
      <c r="A6" s="240" t="n">
        <v>71</v>
      </c>
      <c r="B6" s="252">
        <f>IFERROR(VLOOKUP(A6,'Cadastro Geral Campistas'!$A:$R,2,0),"")</f>
        <v/>
      </c>
      <c r="C6" s="252">
        <f>IFERROR(VLOOKUP(A6,'Cadastro Geral Campistas'!$A:$R,9,0),"")</f>
        <v/>
      </c>
      <c r="D6" s="207">
        <f>IFERROR(VLOOKUP(A6,'Cadastro Geral Campistas'!$A:$R,17,0),"")</f>
        <v/>
      </c>
      <c r="E6" s="254" t="inlineStr"/>
      <c r="F6" s="252">
        <f>IFERROR(VLOOKUP(A6,'Cadastro Geral Campistas'!$A:$R,8,0),"")</f>
        <v/>
      </c>
      <c r="G6" s="209" t="inlineStr"/>
    </row>
    <row r="7" ht="20" customHeight="1" s="121">
      <c r="A7" s="240" t="n">
        <v>91</v>
      </c>
      <c r="B7" s="252">
        <f>IFERROR(VLOOKUP(A7,'Cadastro Geral Campistas'!$A:$R,2,0),"")</f>
        <v/>
      </c>
      <c r="C7" s="252">
        <f>IFERROR(VLOOKUP(A7,'Cadastro Geral Campistas'!$A:$R,9,0),"")</f>
        <v/>
      </c>
      <c r="D7" s="256">
        <f>IFERROR(VLOOKUP(A7,'Cadastro Geral Campistas'!$A:$R,17,0),"")</f>
        <v/>
      </c>
      <c r="E7" s="254" t="inlineStr"/>
      <c r="F7" s="252">
        <f>IFERROR(VLOOKUP(A7,'Cadastro Geral Campistas'!$A:$R,8,0),"")</f>
        <v/>
      </c>
      <c r="G7" s="209" t="inlineStr"/>
    </row>
    <row r="8" ht="20" customHeight="1" s="121">
      <c r="A8" s="240" t="n">
        <v>137</v>
      </c>
      <c r="B8" s="252">
        <f>IFERROR(VLOOKUP(A8,'Cadastro Geral Campistas'!$A:$R,2,0),"")</f>
        <v/>
      </c>
      <c r="C8" s="252">
        <f>IFERROR(VLOOKUP(A8,'Cadastro Geral Campistas'!$A:$R,9,0),"")</f>
        <v/>
      </c>
      <c r="D8" s="214">
        <f>IFERROR(VLOOKUP(A8,'Cadastro Geral Campistas'!$A:$R,17,0),"")</f>
        <v/>
      </c>
      <c r="E8" s="254" t="inlineStr"/>
      <c r="F8" s="252">
        <f>IFERROR(VLOOKUP(A8,'Cadastro Geral Campistas'!$A:$R,8,0),"")</f>
        <v/>
      </c>
      <c r="G8" s="209" t="inlineStr"/>
    </row>
    <row r="9" ht="20" customHeight="1" s="121">
      <c r="A9" s="205" t="n">
        <v>6</v>
      </c>
      <c r="B9" s="206">
        <f>IFERROR(VLOOKUP(A9,'Cadastro Geral Campistas'!$A:$R,2,0),"")</f>
        <v/>
      </c>
      <c r="C9" s="206">
        <f>IFERROR(VLOOKUP(A9,'Cadastro Geral Campistas'!$A:$R,9,0),"")</f>
        <v/>
      </c>
      <c r="D9" s="255">
        <f>IFERROR(VLOOKUP(A9,'Cadastro Geral Campistas'!$A:$R,17,0),"")</f>
        <v/>
      </c>
      <c r="E9" s="208" t="inlineStr"/>
      <c r="F9" s="206">
        <f>IFERROR(VLOOKUP(A9,'Cadastro Geral Campistas'!$A:$R,8,0),"")</f>
        <v/>
      </c>
      <c r="G9" s="209" t="inlineStr"/>
    </row>
    <row r="10" ht="20" customHeight="1" s="121">
      <c r="A10" s="210" t="n">
        <v>13</v>
      </c>
      <c r="B10" s="211">
        <f>IFERROR(VLOOKUP(A10,'Cadastro Geral Campistas'!$A:$R,2,0),"")</f>
        <v/>
      </c>
      <c r="C10" s="211">
        <f>IFERROR(VLOOKUP(A10,'Cadastro Geral Campistas'!$A:$R,9,0),"")</f>
        <v/>
      </c>
      <c r="D10" s="249">
        <f>IFERROR(VLOOKUP(A10,'Cadastro Geral Campistas'!$A:$R,17,0),"")</f>
        <v/>
      </c>
      <c r="E10" s="213" t="inlineStr"/>
      <c r="F10" s="211">
        <f>IFERROR(VLOOKUP(A10,'Cadastro Geral Campistas'!$A:$R,8,0),"")</f>
        <v/>
      </c>
      <c r="G10" s="209" t="inlineStr"/>
    </row>
    <row r="11" ht="20" customHeight="1" s="121">
      <c r="A11" s="205" t="n">
        <v>18</v>
      </c>
      <c r="B11" s="206">
        <f>IFERROR(VLOOKUP(A11,'Cadastro Geral Campistas'!$A:$R,2,0),"")</f>
        <v/>
      </c>
      <c r="C11" s="206">
        <f>IFERROR(VLOOKUP(A11,'Cadastro Geral Campistas'!$A:$R,9,0),"")</f>
        <v/>
      </c>
      <c r="D11" s="214">
        <f>IFERROR(VLOOKUP(A11,'Cadastro Geral Campistas'!$A:$R,17,0),"")</f>
        <v/>
      </c>
      <c r="E11" s="208" t="inlineStr"/>
      <c r="F11" s="206">
        <f>IFERROR(VLOOKUP(A11,'Cadastro Geral Campistas'!$A:$R,8,0),"")</f>
        <v/>
      </c>
      <c r="G11" s="209" t="inlineStr"/>
    </row>
    <row r="12" ht="20" customHeight="1" s="121">
      <c r="A12" s="210" t="n">
        <v>24</v>
      </c>
      <c r="B12" s="211">
        <f>IFERROR(VLOOKUP(A12,'Cadastro Geral Campistas'!$A:$R,2,0),"")</f>
        <v/>
      </c>
      <c r="C12" s="211">
        <f>IFERROR(VLOOKUP(A12,'Cadastro Geral Campistas'!$A:$R,9,0),"")</f>
        <v/>
      </c>
      <c r="D12" s="215">
        <f>IFERROR(VLOOKUP(A12,'Cadastro Geral Campistas'!$A:$R,17,0),"")</f>
        <v/>
      </c>
      <c r="E12" s="213" t="inlineStr"/>
      <c r="F12" s="211">
        <f>IFERROR(VLOOKUP(A12,'Cadastro Geral Campistas'!$A:$R,8,0),"")</f>
        <v/>
      </c>
      <c r="G12" s="209" t="inlineStr"/>
    </row>
    <row r="13" ht="20" customHeight="1" s="121">
      <c r="A13" s="205" t="n">
        <v>29</v>
      </c>
      <c r="B13" s="206">
        <f>IFERROR(VLOOKUP(A13,'Cadastro Geral Campistas'!$A:$R,2,0),"")</f>
        <v/>
      </c>
      <c r="C13" s="206">
        <f>IFERROR(VLOOKUP(A13,'Cadastro Geral Campistas'!$A:$R,9,0),"")</f>
        <v/>
      </c>
      <c r="D13" s="218">
        <f>IFERROR(VLOOKUP(A13,'Cadastro Geral Campistas'!$A:$R,17,0),"")</f>
        <v/>
      </c>
      <c r="E13" s="208" t="inlineStr"/>
      <c r="F13" s="206">
        <f>IFERROR(VLOOKUP(A13,'Cadastro Geral Campistas'!$A:$R,8,0),"")</f>
        <v/>
      </c>
      <c r="G13" s="209" t="inlineStr"/>
    </row>
    <row r="14" ht="20" customHeight="1" s="121">
      <c r="A14" s="210" t="n">
        <v>35</v>
      </c>
      <c r="B14" s="211">
        <f>IFERROR(VLOOKUP(A14,'Cadastro Geral Campistas'!$A:$R,2,0),"")</f>
        <v/>
      </c>
      <c r="C14" s="211">
        <f>IFERROR(VLOOKUP(A14,'Cadastro Geral Campistas'!$A:$R,9,0),"")</f>
        <v/>
      </c>
      <c r="D14" s="218">
        <f>IFERROR(VLOOKUP(A14,'Cadastro Geral Campistas'!$A:$R,17,0),"")</f>
        <v/>
      </c>
      <c r="E14" s="213" t="inlineStr"/>
      <c r="F14" s="211">
        <f>IFERROR(VLOOKUP(A14,'Cadastro Geral Campistas'!$A:$R,8,0),"")</f>
        <v/>
      </c>
      <c r="G14" s="209" t="inlineStr"/>
    </row>
    <row r="15" ht="20" customHeight="1" s="121">
      <c r="A15" s="205" t="n">
        <v>39</v>
      </c>
      <c r="B15" s="206">
        <f>IFERROR(VLOOKUP(A15,'Cadastro Geral Campistas'!$A:$R,2,0),"")</f>
        <v/>
      </c>
      <c r="C15" s="206">
        <f>IFERROR(VLOOKUP(A15,'Cadastro Geral Campistas'!$A:$R,9,0),"")</f>
        <v/>
      </c>
      <c r="D15" s="218">
        <f>IFERROR(VLOOKUP(A15,'Cadastro Geral Campistas'!$A:$R,17,0),"")</f>
        <v/>
      </c>
      <c r="E15" s="208" t="inlineStr"/>
      <c r="F15" s="206">
        <f>IFERROR(VLOOKUP(A15,'Cadastro Geral Campistas'!$A:$R,8,0),"")</f>
        <v/>
      </c>
      <c r="G15" s="209" t="inlineStr"/>
    </row>
    <row r="16" ht="20" customHeight="1" s="121">
      <c r="A16" s="210" t="n">
        <v>44</v>
      </c>
      <c r="B16" s="211">
        <f>IFERROR(VLOOKUP(A16,'Cadastro Geral Campistas'!$A:$R,2,0),"")</f>
        <v/>
      </c>
      <c r="C16" s="211">
        <f>IFERROR(VLOOKUP(A16,'Cadastro Geral Campistas'!$A:$R,9,0),"")</f>
        <v/>
      </c>
      <c r="D16" s="220">
        <f>IFERROR(VLOOKUP(A16,'Cadastro Geral Campistas'!$A:$R,17,0),"")</f>
        <v/>
      </c>
      <c r="E16" s="213" t="inlineStr"/>
      <c r="F16" s="211">
        <f>IFERROR(VLOOKUP(A16,'Cadastro Geral Campistas'!$A:$R,8,0),"")</f>
        <v/>
      </c>
      <c r="G16" s="209" t="inlineStr"/>
    </row>
    <row r="17" ht="20" customHeight="1" s="121">
      <c r="A17" s="205" t="n">
        <v>48</v>
      </c>
      <c r="B17" s="206">
        <f>IFERROR(VLOOKUP(A17,'Cadastro Geral Campistas'!$A:$R,2,0),"")</f>
        <v/>
      </c>
      <c r="C17" s="206">
        <f>IFERROR(VLOOKUP(A17,'Cadastro Geral Campistas'!$A:$R,9,0),"")</f>
        <v/>
      </c>
      <c r="D17" s="218">
        <f>IFERROR(VLOOKUP(A17,'Cadastro Geral Campistas'!$A:$R,17,0),"")</f>
        <v/>
      </c>
      <c r="E17" s="208" t="inlineStr"/>
      <c r="F17" s="206">
        <f>IFERROR(VLOOKUP(A17,'Cadastro Geral Campistas'!$A:$R,8,0),"")</f>
        <v/>
      </c>
      <c r="G17" s="209" t="inlineStr"/>
    </row>
    <row r="18" ht="20" customHeight="1" s="121">
      <c r="A18" s="210" t="n">
        <v>52</v>
      </c>
      <c r="B18" s="211">
        <f>IFERROR(VLOOKUP(A18,'Cadastro Geral Campistas'!$A:$R,2,0),"")</f>
        <v/>
      </c>
      <c r="C18" s="211">
        <f>IFERROR(VLOOKUP(A18,'Cadastro Geral Campistas'!$A:$R,9,0),"")</f>
        <v/>
      </c>
      <c r="D18" s="207">
        <f>IFERROR(VLOOKUP(A18,'Cadastro Geral Campistas'!$A:$R,17,0),"")</f>
        <v/>
      </c>
      <c r="E18" s="213" t="inlineStr"/>
      <c r="F18" s="211">
        <f>IFERROR(VLOOKUP(A18,'Cadastro Geral Campistas'!$A:$R,8,0),"")</f>
        <v/>
      </c>
      <c r="G18" s="209" t="inlineStr"/>
    </row>
    <row r="19" ht="20" customHeight="1" s="121">
      <c r="A19" s="205" t="n">
        <v>56</v>
      </c>
      <c r="B19" s="206">
        <f>IFERROR(VLOOKUP(A19,'Cadastro Geral Campistas'!$A:$R,2,0),"")</f>
        <v/>
      </c>
      <c r="C19" s="206">
        <f>IFERROR(VLOOKUP(A19,'Cadastro Geral Campistas'!$A:$R,9,0),"")</f>
        <v/>
      </c>
      <c r="D19" s="249">
        <f>IFERROR(VLOOKUP(A19,'Cadastro Geral Campistas'!$A:$R,17,0),"")</f>
        <v/>
      </c>
      <c r="E19" s="208" t="inlineStr"/>
      <c r="F19" s="206">
        <f>IFERROR(VLOOKUP(A19,'Cadastro Geral Campistas'!$A:$R,8,0),"")</f>
        <v/>
      </c>
      <c r="G19" s="209" t="inlineStr"/>
    </row>
    <row r="20" ht="20" customHeight="1" s="121">
      <c r="A20" s="210" t="n">
        <v>60</v>
      </c>
      <c r="B20" s="211">
        <f>IFERROR(VLOOKUP(A20,'Cadastro Geral Campistas'!$A:$R,2,0),"")</f>
        <v/>
      </c>
      <c r="C20" s="211">
        <f>IFERROR(VLOOKUP(A20,'Cadastro Geral Campistas'!$A:$R,9,0),"")</f>
        <v/>
      </c>
      <c r="D20" s="207">
        <f>IFERROR(VLOOKUP(A20,'Cadastro Geral Campistas'!$A:$R,17,0),"")</f>
        <v/>
      </c>
      <c r="E20" s="213" t="inlineStr"/>
      <c r="F20" s="211">
        <f>IFERROR(VLOOKUP(A20,'Cadastro Geral Campistas'!$A:$R,8,0),"")</f>
        <v/>
      </c>
      <c r="G20" s="209" t="inlineStr"/>
    </row>
    <row r="21" ht="20" customHeight="1" s="121">
      <c r="A21" s="205" t="n">
        <v>64</v>
      </c>
      <c r="B21" s="206">
        <f>IFERROR(VLOOKUP(A21,'Cadastro Geral Campistas'!$A:$R,2,0),"")</f>
        <v/>
      </c>
      <c r="C21" s="206">
        <f>IFERROR(VLOOKUP(A21,'Cadastro Geral Campistas'!$A:$R,9,0),"")</f>
        <v/>
      </c>
      <c r="D21" s="215">
        <f>IFERROR(VLOOKUP(A21,'Cadastro Geral Campistas'!$A:$R,17,0),"")</f>
        <v/>
      </c>
      <c r="E21" s="208" t="inlineStr"/>
      <c r="F21" s="206">
        <f>IFERROR(VLOOKUP(A21,'Cadastro Geral Campistas'!$A:$R,8,0),"")</f>
        <v/>
      </c>
      <c r="G21" s="209" t="inlineStr"/>
    </row>
    <row r="22" ht="20" customHeight="1" s="121">
      <c r="A22" s="210" t="n">
        <v>68</v>
      </c>
      <c r="B22" s="211">
        <f>IFERROR(VLOOKUP(A22,'Cadastro Geral Campistas'!$A:$R,2,0),"")</f>
        <v/>
      </c>
      <c r="C22" s="211">
        <f>IFERROR(VLOOKUP(A22,'Cadastro Geral Campistas'!$A:$R,9,0),"")</f>
        <v/>
      </c>
      <c r="D22" s="249">
        <f>IFERROR(VLOOKUP(A22,'Cadastro Geral Campistas'!$A:$R,17,0),"")</f>
        <v/>
      </c>
      <c r="E22" s="213" t="inlineStr"/>
      <c r="F22" s="211">
        <f>IFERROR(VLOOKUP(A22,'Cadastro Geral Campistas'!$A:$R,8,0),"")</f>
        <v/>
      </c>
      <c r="G22" s="209" t="inlineStr"/>
    </row>
    <row r="23" ht="20" customHeight="1" s="121">
      <c r="A23" s="205" t="n">
        <v>73</v>
      </c>
      <c r="B23" s="206">
        <f>IFERROR(VLOOKUP(A23,'Cadastro Geral Campistas'!$A:$R,2,0),"")</f>
        <v/>
      </c>
      <c r="C23" s="206">
        <f>IFERROR(VLOOKUP(A23,'Cadastro Geral Campistas'!$A:$R,9,0),"")</f>
        <v/>
      </c>
      <c r="D23" s="215">
        <f>IFERROR(VLOOKUP(A23,'Cadastro Geral Campistas'!$A:$R,17,0),"")</f>
        <v/>
      </c>
      <c r="E23" s="208" t="inlineStr"/>
      <c r="F23" s="206">
        <f>IFERROR(VLOOKUP(A23,'Cadastro Geral Campistas'!$A:$R,8,0),"")</f>
        <v/>
      </c>
      <c r="G23" s="209" t="inlineStr"/>
    </row>
    <row r="24" ht="20" customHeight="1" s="121">
      <c r="A24" s="210" t="n">
        <v>77</v>
      </c>
      <c r="B24" s="211">
        <f>IFERROR(VLOOKUP(A24,'Cadastro Geral Campistas'!$A:$R,2,0),"")</f>
        <v/>
      </c>
      <c r="C24" s="211">
        <f>IFERROR(VLOOKUP(A24,'Cadastro Geral Campistas'!$A:$R,9,0),"")</f>
        <v/>
      </c>
      <c r="D24" s="249">
        <f>IFERROR(VLOOKUP(A24,'Cadastro Geral Campistas'!$A:$R,17,0),"")</f>
        <v/>
      </c>
      <c r="E24" s="213" t="inlineStr"/>
      <c r="F24" s="211">
        <f>IFERROR(VLOOKUP(A24,'Cadastro Geral Campistas'!$A:$R,8,0),"")</f>
        <v/>
      </c>
      <c r="G24" s="209" t="inlineStr"/>
    </row>
    <row r="25" ht="20" customHeight="1" s="121">
      <c r="A25" s="205" t="n">
        <v>81</v>
      </c>
      <c r="B25" s="206">
        <f>IFERROR(VLOOKUP(A25,'Cadastro Geral Campistas'!$A:$R,2,0),"")</f>
        <v/>
      </c>
      <c r="C25" s="206">
        <f>IFERROR(VLOOKUP(A25,'Cadastro Geral Campistas'!$A:$R,9,0),"")</f>
        <v/>
      </c>
      <c r="D25" s="214">
        <f>IFERROR(VLOOKUP(A25,'Cadastro Geral Campistas'!$A:$R,17,0),"")</f>
        <v/>
      </c>
      <c r="E25" s="208" t="inlineStr"/>
      <c r="F25" s="206">
        <f>IFERROR(VLOOKUP(A25,'Cadastro Geral Campistas'!$A:$R,8,0),"")</f>
        <v/>
      </c>
      <c r="G25" s="209" t="inlineStr"/>
    </row>
    <row r="26" ht="20" customHeight="1" s="121">
      <c r="A26" s="210" t="n">
        <v>86</v>
      </c>
      <c r="B26" s="211">
        <f>IFERROR(VLOOKUP(A26,'Cadastro Geral Campistas'!$A:$R,2,0),"")</f>
        <v/>
      </c>
      <c r="C26" s="211">
        <f>IFERROR(VLOOKUP(A26,'Cadastro Geral Campistas'!$A:$R,9,0),"")</f>
        <v/>
      </c>
      <c r="D26" s="215">
        <f>IFERROR(VLOOKUP(A26,'Cadastro Geral Campistas'!$A:$R,17,0),"")</f>
        <v/>
      </c>
      <c r="E26" s="213" t="inlineStr"/>
      <c r="F26" s="211">
        <f>IFERROR(VLOOKUP(A26,'Cadastro Geral Campistas'!$A:$R,8,0),"")</f>
        <v/>
      </c>
      <c r="G26" s="209" t="inlineStr"/>
    </row>
    <row r="27" ht="20" customHeight="1" s="121">
      <c r="A27" s="205" t="n">
        <v>90</v>
      </c>
      <c r="B27" s="206">
        <f>IFERROR(VLOOKUP(A27,'Cadastro Geral Campistas'!$A:$R,2,0),"")</f>
        <v/>
      </c>
      <c r="C27" s="206">
        <f>IFERROR(VLOOKUP(A27,'Cadastro Geral Campistas'!$A:$R,9,0),"")</f>
        <v/>
      </c>
      <c r="D27" s="220">
        <f>IFERROR(VLOOKUP(A27,'Cadastro Geral Campistas'!$A:$R,17,0),"")</f>
        <v/>
      </c>
      <c r="E27" s="208" t="inlineStr"/>
      <c r="F27" s="206">
        <f>IFERROR(VLOOKUP(A27,'Cadastro Geral Campistas'!$A:$R,8,0),"")</f>
        <v/>
      </c>
      <c r="G27" s="209" t="inlineStr"/>
    </row>
    <row r="28" ht="20" customHeight="1" s="121">
      <c r="A28" s="210" t="n">
        <v>97</v>
      </c>
      <c r="B28" s="211">
        <f>IFERROR(VLOOKUP(A28,'Cadastro Geral Campistas'!$A:$R,2,0),"")</f>
        <v/>
      </c>
      <c r="C28" s="211">
        <f>IFERROR(VLOOKUP(A28,'Cadastro Geral Campistas'!$A:$R,9,0),"")</f>
        <v/>
      </c>
      <c r="D28" s="220">
        <f>IFERROR(VLOOKUP(A28,'Cadastro Geral Campistas'!$A:$R,17,0),"")</f>
        <v/>
      </c>
      <c r="E28" s="213" t="inlineStr"/>
      <c r="F28" s="211">
        <f>IFERROR(VLOOKUP(A28,'Cadastro Geral Campistas'!$A:$R,8,0),"")</f>
        <v/>
      </c>
      <c r="G28" s="209" t="inlineStr"/>
    </row>
    <row r="29" ht="20" customHeight="1" s="121">
      <c r="A29" s="205" t="n">
        <v>102</v>
      </c>
      <c r="B29" s="206">
        <f>IFERROR(VLOOKUP(A29,'Cadastro Geral Campistas'!$A:$R,2,0),"")</f>
        <v/>
      </c>
      <c r="C29" s="206">
        <f>IFERROR(VLOOKUP(A29,'Cadastro Geral Campistas'!$A:$R,9,0),"")</f>
        <v/>
      </c>
      <c r="D29" s="255">
        <f>IFERROR(VLOOKUP(A29,'Cadastro Geral Campistas'!$A:$R,17,0),"")</f>
        <v/>
      </c>
      <c r="E29" s="208" t="inlineStr"/>
      <c r="F29" s="206">
        <f>IFERROR(VLOOKUP(A29,'Cadastro Geral Campistas'!$A:$R,8,0),"")</f>
        <v/>
      </c>
      <c r="G29" s="209" t="inlineStr"/>
    </row>
    <row r="30" ht="20" customHeight="1" s="121">
      <c r="A30" s="210" t="n">
        <v>107</v>
      </c>
      <c r="B30" s="211">
        <f>IFERROR(VLOOKUP(A30,'Cadastro Geral Campistas'!$A:$R,2,0),"")</f>
        <v/>
      </c>
      <c r="C30" s="211">
        <f>IFERROR(VLOOKUP(A30,'Cadastro Geral Campistas'!$A:$R,9,0),"")</f>
        <v/>
      </c>
      <c r="D30" s="214">
        <f>IFERROR(VLOOKUP(A30,'Cadastro Geral Campistas'!$A:$R,17,0),"")</f>
        <v/>
      </c>
      <c r="E30" s="213" t="inlineStr"/>
      <c r="F30" s="211">
        <f>IFERROR(VLOOKUP(A30,'Cadastro Geral Campistas'!$A:$R,8,0),"")</f>
        <v/>
      </c>
      <c r="G30" s="209" t="inlineStr"/>
    </row>
    <row r="31" ht="20" customHeight="1" s="121">
      <c r="A31" s="205" t="n">
        <v>111</v>
      </c>
      <c r="B31" s="206">
        <f>IFERROR(VLOOKUP(A31,'Cadastro Geral Campistas'!$A:$R,2,0),"")</f>
        <v/>
      </c>
      <c r="C31" s="206">
        <f>IFERROR(VLOOKUP(A31,'Cadastro Geral Campistas'!$A:$R,9,0),"")</f>
        <v/>
      </c>
      <c r="D31" s="215">
        <f>IFERROR(VLOOKUP(A31,'Cadastro Geral Campistas'!$A:$R,17,0),"")</f>
        <v/>
      </c>
      <c r="E31" s="208" t="inlineStr"/>
      <c r="F31" s="206">
        <f>IFERROR(VLOOKUP(A31,'Cadastro Geral Campistas'!$A:$R,8,0),"")</f>
        <v/>
      </c>
      <c r="G31" s="209" t="inlineStr"/>
    </row>
    <row r="32" ht="20" customHeight="1" s="121">
      <c r="A32" s="210" t="n">
        <v>115</v>
      </c>
      <c r="B32" s="211">
        <f>IFERROR(VLOOKUP(A32,'Cadastro Geral Campistas'!$A:$R,2,0),"")</f>
        <v/>
      </c>
      <c r="C32" s="211">
        <f>IFERROR(VLOOKUP(A32,'Cadastro Geral Campistas'!$A:$R,9,0),"")</f>
        <v/>
      </c>
      <c r="D32" s="207">
        <f>IFERROR(VLOOKUP(A32,'Cadastro Geral Campistas'!$A:$R,17,0),"")</f>
        <v/>
      </c>
      <c r="E32" s="213" t="inlineStr"/>
      <c r="F32" s="211">
        <f>IFERROR(VLOOKUP(A32,'Cadastro Geral Campistas'!$A:$R,8,0),"")</f>
        <v/>
      </c>
      <c r="G32" s="209" t="inlineStr"/>
    </row>
    <row r="33" ht="20" customHeight="1" s="121">
      <c r="A33" s="205" t="n">
        <v>120</v>
      </c>
      <c r="B33" s="206">
        <f>IFERROR(VLOOKUP(A33,'Cadastro Geral Campistas'!$A:$R,2,0),"")</f>
        <v/>
      </c>
      <c r="C33" s="206">
        <f>IFERROR(VLOOKUP(A33,'Cadastro Geral Campistas'!$A:$R,9,0),"")</f>
        <v/>
      </c>
      <c r="D33" s="253">
        <f>IFERROR(VLOOKUP(A33,'Cadastro Geral Campistas'!$A:$R,17,0),"")</f>
        <v/>
      </c>
      <c r="E33" s="208" t="inlineStr"/>
      <c r="F33" s="206">
        <f>IFERROR(VLOOKUP(A33,'Cadastro Geral Campistas'!$A:$R,8,0),"")</f>
        <v/>
      </c>
      <c r="G33" s="209" t="inlineStr"/>
    </row>
    <row r="34" ht="20" customHeight="1" s="121">
      <c r="A34" s="210" t="n">
        <v>124</v>
      </c>
      <c r="B34" s="211">
        <f>IFERROR(VLOOKUP(A34,'Cadastro Geral Campistas'!$A:$R,2,0),"")</f>
        <v/>
      </c>
      <c r="C34" s="211">
        <f>IFERROR(VLOOKUP(A34,'Cadastro Geral Campistas'!$A:$R,9,0),"")</f>
        <v/>
      </c>
      <c r="D34" s="253">
        <f>IFERROR(VLOOKUP(A34,'Cadastro Geral Campistas'!$A:$R,17,0),"")</f>
        <v/>
      </c>
      <c r="E34" s="213" t="inlineStr"/>
      <c r="F34" s="211">
        <f>IFERROR(VLOOKUP(A34,'Cadastro Geral Campistas'!$A:$R,8,0),"")</f>
        <v/>
      </c>
      <c r="G34" s="209" t="inlineStr"/>
    </row>
    <row r="35" ht="20" customHeight="1" s="121">
      <c r="A35" s="205" t="n">
        <v>128</v>
      </c>
      <c r="B35" s="206">
        <f>IFERROR(VLOOKUP(A35,'Cadastro Geral Campistas'!$A:$R,2,0),"")</f>
        <v/>
      </c>
      <c r="C35" s="206">
        <f>IFERROR(VLOOKUP(A35,'Cadastro Geral Campistas'!$A:$R,9,0),"")</f>
        <v/>
      </c>
      <c r="D35" s="220">
        <f>IFERROR(VLOOKUP(A35,'Cadastro Geral Campistas'!$A:$R,17,0),"")</f>
        <v/>
      </c>
      <c r="E35" s="208" t="inlineStr"/>
      <c r="F35" s="206">
        <f>IFERROR(VLOOKUP(A35,'Cadastro Geral Campistas'!$A:$R,8,0),"")</f>
        <v/>
      </c>
      <c r="G35" s="209" t="inlineStr"/>
    </row>
    <row r="36" ht="20" customHeight="1" s="121">
      <c r="A36" s="210" t="n">
        <v>132</v>
      </c>
      <c r="B36" s="211">
        <f>IFERROR(VLOOKUP(A36,'Cadastro Geral Campistas'!$A:$R,2,0),"")</f>
        <v/>
      </c>
      <c r="C36" s="211">
        <f>IFERROR(VLOOKUP(A36,'Cadastro Geral Campistas'!$A:$R,9,0),"")</f>
        <v/>
      </c>
      <c r="D36" s="214">
        <f>IFERROR(VLOOKUP(A36,'Cadastro Geral Campistas'!$A:$R,17,0),"")</f>
        <v/>
      </c>
      <c r="E36" s="213" t="inlineStr"/>
      <c r="F36" s="211">
        <f>IFERROR(VLOOKUP(A36,'Cadastro Geral Campistas'!$A:$R,8,0),"")</f>
        <v/>
      </c>
      <c r="G36" s="209" t="inlineStr"/>
    </row>
    <row r="37" ht="20" customHeight="1" s="121">
      <c r="A37" s="205" t="n">
        <v>136</v>
      </c>
      <c r="B37" s="206">
        <f>IFERROR(VLOOKUP(A37,'Cadastro Geral Campistas'!$A:$R,2,0),"")</f>
        <v/>
      </c>
      <c r="C37" s="206">
        <f>IFERROR(VLOOKUP(A37,'Cadastro Geral Campistas'!$A:$R,9,0),"")</f>
        <v/>
      </c>
      <c r="D37" s="214">
        <f>IFERROR(VLOOKUP(A37,'Cadastro Geral Campistas'!$A:$R,17,0),"")</f>
        <v/>
      </c>
      <c r="E37" s="208" t="inlineStr"/>
      <c r="F37" s="206">
        <f>IFERROR(VLOOKUP(A37,'Cadastro Geral Campistas'!$A:$R,8,0),"")</f>
        <v/>
      </c>
      <c r="G37" s="209" t="inlineStr"/>
    </row>
    <row r="38" ht="20" customHeight="1" s="121">
      <c r="A38" s="210" t="n">
        <v>141</v>
      </c>
      <c r="B38" s="211">
        <f>IFERROR(VLOOKUP(A38,'Cadastro Geral Campistas'!$A:$R,2,0),"")</f>
        <v/>
      </c>
      <c r="C38" s="211">
        <f>IFERROR(VLOOKUP(A38,'Cadastro Geral Campistas'!$A:$R,9,0),"")</f>
        <v/>
      </c>
      <c r="D38" s="214">
        <f>IFERROR(VLOOKUP(A38,'Cadastro Geral Campistas'!$A:$R,17,0),"")</f>
        <v/>
      </c>
      <c r="E38" s="213" t="inlineStr"/>
      <c r="F38" s="211">
        <f>IFERROR(VLOOKUP(A38,'Cadastro Geral Campistas'!$A:$R,8,0),"")</f>
        <v/>
      </c>
      <c r="G38" s="209" t="inlineStr"/>
    </row>
    <row r="40" ht="28" customHeight="1" s="121">
      <c r="A40" s="203">
        <f>CONCATENATE("ÔNIBUS 02  —  ",COUNTA(A42:A77)," campistas")</f>
        <v/>
      </c>
    </row>
    <row r="41" ht="22" customHeight="1" s="121">
      <c r="A41" s="204" t="inlineStr">
        <is>
          <t>FC ✏️</t>
        </is>
      </c>
      <c r="B41" s="204" t="inlineStr">
        <is>
          <t>CAMPISTAS</t>
        </is>
      </c>
      <c r="C41" s="204" t="inlineStr">
        <is>
          <t>CIDADE</t>
        </is>
      </c>
      <c r="D41" s="204" t="inlineStr">
        <is>
          <t>TRIBO</t>
        </is>
      </c>
      <c r="E41" s="204" t="inlineStr">
        <is>
          <t>FONE:</t>
        </is>
      </c>
      <c r="F41" s="204" t="inlineStr">
        <is>
          <t>CELULAR</t>
        </is>
      </c>
      <c r="G41" s="204" t="inlineStr">
        <is>
          <t>EMBARCOU ✅</t>
        </is>
      </c>
    </row>
    <row r="42" ht="20" customHeight="1" s="121">
      <c r="A42" s="240" t="n">
        <v>7</v>
      </c>
      <c r="B42" s="252">
        <f>IFERROR(VLOOKUP(A42,'Cadastro Geral Campistas'!$A:$R,2,0),"")</f>
        <v/>
      </c>
      <c r="C42" s="252">
        <f>IFERROR(VLOOKUP(A42,'Cadastro Geral Campistas'!$A:$R,9,0),"")</f>
        <v/>
      </c>
      <c r="D42" s="256">
        <f>IFERROR(VLOOKUP(A42,'Cadastro Geral Campistas'!$A:$R,17,0),"")</f>
        <v/>
      </c>
      <c r="E42" s="254" t="inlineStr"/>
      <c r="F42" s="252">
        <f>IFERROR(VLOOKUP(A42,'Cadastro Geral Campistas'!$A:$R,8,0),"")</f>
        <v/>
      </c>
      <c r="G42" s="209" t="inlineStr"/>
    </row>
    <row r="43" ht="20" customHeight="1" s="121">
      <c r="A43" s="240" t="n">
        <v>16</v>
      </c>
      <c r="B43" s="252">
        <f>IFERROR(VLOOKUP(A43,'Cadastro Geral Campistas'!$A:$R,2,0),"")</f>
        <v/>
      </c>
      <c r="C43" s="252">
        <f>IFERROR(VLOOKUP(A43,'Cadastro Geral Campistas'!$A:$R,9,0),"")</f>
        <v/>
      </c>
      <c r="D43" s="207">
        <f>IFERROR(VLOOKUP(A43,'Cadastro Geral Campistas'!$A:$R,17,0),"")</f>
        <v/>
      </c>
      <c r="E43" s="254" t="inlineStr"/>
      <c r="F43" s="252">
        <f>IFERROR(VLOOKUP(A43,'Cadastro Geral Campistas'!$A:$R,8,0),"")</f>
        <v/>
      </c>
      <c r="G43" s="209" t="inlineStr"/>
    </row>
    <row r="44" ht="20" customHeight="1" s="121">
      <c r="A44" s="240" t="n">
        <v>21</v>
      </c>
      <c r="B44" s="252">
        <f>IFERROR(VLOOKUP(A44,'Cadastro Geral Campistas'!$A:$R,2,0),"")</f>
        <v/>
      </c>
      <c r="C44" s="252">
        <f>IFERROR(VLOOKUP(A44,'Cadastro Geral Campistas'!$A:$R,9,0),"")</f>
        <v/>
      </c>
      <c r="D44" s="253">
        <f>IFERROR(VLOOKUP(A44,'Cadastro Geral Campistas'!$A:$R,17,0),"")</f>
        <v/>
      </c>
      <c r="E44" s="254" t="inlineStr"/>
      <c r="F44" s="252">
        <f>IFERROR(VLOOKUP(A44,'Cadastro Geral Campistas'!$A:$R,8,0),"")</f>
        <v/>
      </c>
      <c r="G44" s="209" t="inlineStr"/>
    </row>
    <row r="45" ht="20" customHeight="1" s="121">
      <c r="A45" s="240" t="n">
        <v>105</v>
      </c>
      <c r="B45" s="252">
        <f>IFERROR(VLOOKUP(A45,'Cadastro Geral Campistas'!$A:$R,2,0),"")</f>
        <v/>
      </c>
      <c r="C45" s="252">
        <f>IFERROR(VLOOKUP(A45,'Cadastro Geral Campistas'!$A:$R,9,0),"")</f>
        <v/>
      </c>
      <c r="D45" s="256">
        <f>IFERROR(VLOOKUP(A45,'Cadastro Geral Campistas'!$A:$R,17,0),"")</f>
        <v/>
      </c>
      <c r="E45" s="254" t="inlineStr"/>
      <c r="F45" s="252">
        <f>IFERROR(VLOOKUP(A45,'Cadastro Geral Campistas'!$A:$R,8,0),"")</f>
        <v/>
      </c>
      <c r="G45" s="209" t="inlineStr"/>
    </row>
    <row r="46" ht="20" customHeight="1" s="121">
      <c r="A46" s="240" t="n">
        <v>93</v>
      </c>
      <c r="B46" s="252">
        <f>IFERROR(VLOOKUP(A46,'Cadastro Geral Campistas'!$A:$R,2,0),"")</f>
        <v/>
      </c>
      <c r="C46" s="252">
        <f>IFERROR(VLOOKUP(A46,'Cadastro Geral Campistas'!$A:$R,9,0),"")</f>
        <v/>
      </c>
      <c r="D46" s="215">
        <f>IFERROR(VLOOKUP(A46,'Cadastro Geral Campistas'!$A:$R,17,0),"")</f>
        <v/>
      </c>
      <c r="E46" s="254" t="inlineStr"/>
      <c r="F46" s="252">
        <f>IFERROR(VLOOKUP(A46,'Cadastro Geral Campistas'!$A:$R,8,0),"")</f>
        <v/>
      </c>
      <c r="G46" s="209" t="inlineStr"/>
    </row>
    <row r="47" ht="20" customHeight="1" s="121">
      <c r="A47" s="240" t="n">
        <v>119</v>
      </c>
      <c r="B47" s="252">
        <f>IFERROR(VLOOKUP(A47,'Cadastro Geral Campistas'!$A:$R,2,0),"")</f>
        <v/>
      </c>
      <c r="C47" s="252">
        <f>IFERROR(VLOOKUP(A47,'Cadastro Geral Campistas'!$A:$R,9,0),"")</f>
        <v/>
      </c>
      <c r="D47" s="214">
        <f>IFERROR(VLOOKUP(A47,'Cadastro Geral Campistas'!$A:$R,17,0),"")</f>
        <v/>
      </c>
      <c r="E47" s="254" t="inlineStr"/>
      <c r="F47" s="252">
        <f>IFERROR(VLOOKUP(A47,'Cadastro Geral Campistas'!$A:$R,8,0),"")</f>
        <v/>
      </c>
      <c r="G47" s="209" t="inlineStr"/>
    </row>
    <row r="48" ht="20" customHeight="1" s="121">
      <c r="A48" s="205" t="n">
        <v>9</v>
      </c>
      <c r="B48" s="206">
        <f>IFERROR(VLOOKUP(A48,'Cadastro Geral Campistas'!$A:$R,2,0),"")</f>
        <v/>
      </c>
      <c r="C48" s="206">
        <f>IFERROR(VLOOKUP(A48,'Cadastro Geral Campistas'!$A:$R,9,0),"")</f>
        <v/>
      </c>
      <c r="D48" s="249">
        <f>IFERROR(VLOOKUP(A48,'Cadastro Geral Campistas'!$A:$R,17,0),"")</f>
        <v/>
      </c>
      <c r="E48" s="208" t="inlineStr"/>
      <c r="F48" s="206">
        <f>IFERROR(VLOOKUP(A48,'Cadastro Geral Campistas'!$A:$R,8,0),"")</f>
        <v/>
      </c>
      <c r="G48" s="209" t="inlineStr"/>
    </row>
    <row r="49" ht="20" customHeight="1" s="121">
      <c r="A49" s="210" t="n">
        <v>14</v>
      </c>
      <c r="B49" s="211">
        <f>IFERROR(VLOOKUP(A49,'Cadastro Geral Campistas'!$A:$R,2,0),"")</f>
        <v/>
      </c>
      <c r="C49" s="211">
        <f>IFERROR(VLOOKUP(A49,'Cadastro Geral Campistas'!$A:$R,9,0),"")</f>
        <v/>
      </c>
      <c r="D49" s="256">
        <f>IFERROR(VLOOKUP(A49,'Cadastro Geral Campistas'!$A:$R,17,0),"")</f>
        <v/>
      </c>
      <c r="E49" s="213" t="inlineStr"/>
      <c r="F49" s="211">
        <f>IFERROR(VLOOKUP(A49,'Cadastro Geral Campistas'!$A:$R,8,0),"")</f>
        <v/>
      </c>
      <c r="G49" s="209" t="inlineStr"/>
    </row>
    <row r="50" ht="20" customHeight="1" s="121">
      <c r="A50" s="205" t="n">
        <v>20</v>
      </c>
      <c r="B50" s="206">
        <f>IFERROR(VLOOKUP(A50,'Cadastro Geral Campistas'!$A:$R,2,0),"")</f>
        <v/>
      </c>
      <c r="C50" s="206">
        <f>IFERROR(VLOOKUP(A50,'Cadastro Geral Campistas'!$A:$R,9,0),"")</f>
        <v/>
      </c>
      <c r="D50" s="207">
        <f>IFERROR(VLOOKUP(A50,'Cadastro Geral Campistas'!$A:$R,17,0),"")</f>
        <v/>
      </c>
      <c r="E50" s="208" t="inlineStr"/>
      <c r="F50" s="206">
        <f>IFERROR(VLOOKUP(A50,'Cadastro Geral Campistas'!$A:$R,8,0),"")</f>
        <v/>
      </c>
      <c r="G50" s="209" t="inlineStr"/>
    </row>
    <row r="51" ht="20" customHeight="1" s="121">
      <c r="A51" s="210" t="n">
        <v>25</v>
      </c>
      <c r="B51" s="211">
        <f>IFERROR(VLOOKUP(A51,'Cadastro Geral Campistas'!$A:$R,2,0),"")</f>
        <v/>
      </c>
      <c r="C51" s="211">
        <f>IFERROR(VLOOKUP(A51,'Cadastro Geral Campistas'!$A:$R,9,0),"")</f>
        <v/>
      </c>
      <c r="D51" s="214">
        <f>IFERROR(VLOOKUP(A51,'Cadastro Geral Campistas'!$A:$R,17,0),"")</f>
        <v/>
      </c>
      <c r="E51" s="213" t="inlineStr"/>
      <c r="F51" s="211">
        <f>IFERROR(VLOOKUP(A51,'Cadastro Geral Campistas'!$A:$R,8,0),"")</f>
        <v/>
      </c>
      <c r="G51" s="209" t="inlineStr"/>
    </row>
    <row r="52" ht="20" customHeight="1" s="121">
      <c r="A52" s="205" t="n">
        <v>30</v>
      </c>
      <c r="B52" s="206">
        <f>IFERROR(VLOOKUP(A52,'Cadastro Geral Campistas'!$A:$R,2,0),"")</f>
        <v/>
      </c>
      <c r="C52" s="206">
        <f>IFERROR(VLOOKUP(A52,'Cadastro Geral Campistas'!$A:$R,9,0),"")</f>
        <v/>
      </c>
      <c r="D52" s="253">
        <f>IFERROR(VLOOKUP(A52,'Cadastro Geral Campistas'!$A:$R,17,0),"")</f>
        <v/>
      </c>
      <c r="E52" s="208" t="inlineStr"/>
      <c r="F52" s="206">
        <f>IFERROR(VLOOKUP(A52,'Cadastro Geral Campistas'!$A:$R,8,0),"")</f>
        <v/>
      </c>
      <c r="G52" s="209" t="inlineStr"/>
    </row>
    <row r="53" ht="20" customHeight="1" s="121">
      <c r="A53" s="210" t="n">
        <v>36</v>
      </c>
      <c r="B53" s="211">
        <f>IFERROR(VLOOKUP(A53,'Cadastro Geral Campistas'!$A:$R,2,0),"")</f>
        <v/>
      </c>
      <c r="C53" s="211">
        <f>IFERROR(VLOOKUP(A53,'Cadastro Geral Campistas'!$A:$R,9,0),"")</f>
        <v/>
      </c>
      <c r="D53" s="215">
        <f>IFERROR(VLOOKUP(A53,'Cadastro Geral Campistas'!$A:$R,17,0),"")</f>
        <v/>
      </c>
      <c r="E53" s="213" t="inlineStr"/>
      <c r="F53" s="211">
        <f>IFERROR(VLOOKUP(A53,'Cadastro Geral Campistas'!$A:$R,8,0),"")</f>
        <v/>
      </c>
      <c r="G53" s="209" t="inlineStr"/>
    </row>
    <row r="54" ht="20" customHeight="1" s="121">
      <c r="A54" s="205" t="n">
        <v>41</v>
      </c>
      <c r="B54" s="206">
        <f>IFERROR(VLOOKUP(A54,'Cadastro Geral Campistas'!$A:$R,2,0),"")</f>
        <v/>
      </c>
      <c r="C54" s="206">
        <f>IFERROR(VLOOKUP(A54,'Cadastro Geral Campistas'!$A:$R,9,0),"")</f>
        <v/>
      </c>
      <c r="D54" s="207">
        <f>IFERROR(VLOOKUP(A54,'Cadastro Geral Campistas'!$A:$R,17,0),"")</f>
        <v/>
      </c>
      <c r="E54" s="208" t="inlineStr"/>
      <c r="F54" s="206">
        <f>IFERROR(VLOOKUP(A54,'Cadastro Geral Campistas'!$A:$R,8,0),"")</f>
        <v/>
      </c>
      <c r="G54" s="209" t="inlineStr"/>
    </row>
    <row r="55" ht="20" customHeight="1" s="121">
      <c r="A55" s="210" t="n">
        <v>45</v>
      </c>
      <c r="B55" s="211">
        <f>IFERROR(VLOOKUP(A55,'Cadastro Geral Campistas'!$A:$R,2,0),"")</f>
        <v/>
      </c>
      <c r="C55" s="211">
        <f>IFERROR(VLOOKUP(A55,'Cadastro Geral Campistas'!$A:$R,9,0),"")</f>
        <v/>
      </c>
      <c r="D55" s="220">
        <f>IFERROR(VLOOKUP(A55,'Cadastro Geral Campistas'!$A:$R,17,0),"")</f>
        <v/>
      </c>
      <c r="E55" s="213" t="inlineStr"/>
      <c r="F55" s="211">
        <f>IFERROR(VLOOKUP(A55,'Cadastro Geral Campistas'!$A:$R,8,0),"")</f>
        <v/>
      </c>
      <c r="G55" s="209" t="inlineStr"/>
    </row>
    <row r="56" ht="20" customHeight="1" s="121">
      <c r="A56" s="205" t="n">
        <v>49</v>
      </c>
      <c r="B56" s="206">
        <f>IFERROR(VLOOKUP(A56,'Cadastro Geral Campistas'!$A:$R,2,0),"")</f>
        <v/>
      </c>
      <c r="C56" s="206">
        <f>IFERROR(VLOOKUP(A56,'Cadastro Geral Campistas'!$A:$R,9,0),"")</f>
        <v/>
      </c>
      <c r="D56" s="253">
        <f>IFERROR(VLOOKUP(A56,'Cadastro Geral Campistas'!$A:$R,17,0),"")</f>
        <v/>
      </c>
      <c r="E56" s="208" t="inlineStr"/>
      <c r="F56" s="206">
        <f>IFERROR(VLOOKUP(A56,'Cadastro Geral Campistas'!$A:$R,8,0),"")</f>
        <v/>
      </c>
      <c r="G56" s="209" t="inlineStr"/>
    </row>
    <row r="57" ht="20" customHeight="1" s="121">
      <c r="A57" s="210" t="n">
        <v>53</v>
      </c>
      <c r="B57" s="211">
        <f>IFERROR(VLOOKUP(A57,'Cadastro Geral Campistas'!$A:$R,2,0),"")</f>
        <v/>
      </c>
      <c r="C57" s="211">
        <f>IFERROR(VLOOKUP(A57,'Cadastro Geral Campistas'!$A:$R,9,0),"")</f>
        <v/>
      </c>
      <c r="D57" s="256">
        <f>IFERROR(VLOOKUP(A57,'Cadastro Geral Campistas'!$A:$R,17,0),"")</f>
        <v/>
      </c>
      <c r="E57" s="213" t="inlineStr"/>
      <c r="F57" s="211">
        <f>IFERROR(VLOOKUP(A57,'Cadastro Geral Campistas'!$A:$R,8,0),"")</f>
        <v/>
      </c>
      <c r="G57" s="209" t="inlineStr"/>
    </row>
    <row r="58" ht="20" customHeight="1" s="121">
      <c r="A58" s="205" t="n">
        <v>57</v>
      </c>
      <c r="B58" s="206">
        <f>IFERROR(VLOOKUP(A58,'Cadastro Geral Campistas'!$A:$R,2,0),"")</f>
        <v/>
      </c>
      <c r="C58" s="206">
        <f>IFERROR(VLOOKUP(A58,'Cadastro Geral Campistas'!$A:$R,9,0),"")</f>
        <v/>
      </c>
      <c r="D58" s="220">
        <f>IFERROR(VLOOKUP(A58,'Cadastro Geral Campistas'!$A:$R,17,0),"")</f>
        <v/>
      </c>
      <c r="E58" s="208" t="inlineStr"/>
      <c r="F58" s="206">
        <f>IFERROR(VLOOKUP(A58,'Cadastro Geral Campistas'!$A:$R,8,0),"")</f>
        <v/>
      </c>
      <c r="G58" s="209" t="inlineStr"/>
    </row>
    <row r="59" ht="20" customHeight="1" s="121">
      <c r="A59" s="210" t="n">
        <v>61</v>
      </c>
      <c r="B59" s="211">
        <f>IFERROR(VLOOKUP(A59,'Cadastro Geral Campistas'!$A:$R,2,0),"")</f>
        <v/>
      </c>
      <c r="C59" s="211">
        <f>IFERROR(VLOOKUP(A59,'Cadastro Geral Campistas'!$A:$R,9,0),"")</f>
        <v/>
      </c>
      <c r="D59" s="249">
        <f>IFERROR(VLOOKUP(A59,'Cadastro Geral Campistas'!$A:$R,17,0),"")</f>
        <v/>
      </c>
      <c r="E59" s="213" t="inlineStr"/>
      <c r="F59" s="211">
        <f>IFERROR(VLOOKUP(A59,'Cadastro Geral Campistas'!$A:$R,8,0),"")</f>
        <v/>
      </c>
      <c r="G59" s="209" t="inlineStr"/>
    </row>
    <row r="60" ht="20" customHeight="1" s="121">
      <c r="A60" s="205" t="n">
        <v>65</v>
      </c>
      <c r="B60" s="206">
        <f>IFERROR(VLOOKUP(A60,'Cadastro Geral Campistas'!$A:$R,2,0),"")</f>
        <v/>
      </c>
      <c r="C60" s="206">
        <f>IFERROR(VLOOKUP(A60,'Cadastro Geral Campistas'!$A:$R,9,0),"")</f>
        <v/>
      </c>
      <c r="D60" s="256">
        <f>IFERROR(VLOOKUP(A60,'Cadastro Geral Campistas'!$A:$R,17,0),"")</f>
        <v/>
      </c>
      <c r="E60" s="208" t="inlineStr"/>
      <c r="F60" s="206">
        <f>IFERROR(VLOOKUP(A60,'Cadastro Geral Campistas'!$A:$R,8,0),"")</f>
        <v/>
      </c>
      <c r="G60" s="209" t="inlineStr"/>
    </row>
    <row r="61" ht="20" customHeight="1" s="121">
      <c r="A61" s="210" t="n">
        <v>69</v>
      </c>
      <c r="B61" s="211">
        <f>IFERROR(VLOOKUP(A61,'Cadastro Geral Campistas'!$A:$R,2,0),"")</f>
        <v/>
      </c>
      <c r="C61" s="211">
        <f>IFERROR(VLOOKUP(A61,'Cadastro Geral Campistas'!$A:$R,9,0),"")</f>
        <v/>
      </c>
      <c r="D61" s="253">
        <f>IFERROR(VLOOKUP(A61,'Cadastro Geral Campistas'!$A:$R,17,0),"")</f>
        <v/>
      </c>
      <c r="E61" s="213" t="inlineStr"/>
      <c r="F61" s="211">
        <f>IFERROR(VLOOKUP(A61,'Cadastro Geral Campistas'!$A:$R,8,0),"")</f>
        <v/>
      </c>
      <c r="G61" s="209" t="inlineStr"/>
    </row>
    <row r="62" ht="20" customHeight="1" s="121">
      <c r="A62" s="205" t="n">
        <v>74</v>
      </c>
      <c r="B62" s="206">
        <f>IFERROR(VLOOKUP(A62,'Cadastro Geral Campistas'!$A:$R,2,0),"")</f>
        <v/>
      </c>
      <c r="C62" s="206">
        <f>IFERROR(VLOOKUP(A62,'Cadastro Geral Campistas'!$A:$R,9,0),"")</f>
        <v/>
      </c>
      <c r="D62" s="218">
        <f>IFERROR(VLOOKUP(A62,'Cadastro Geral Campistas'!$A:$R,17,0),"")</f>
        <v/>
      </c>
      <c r="E62" s="208" t="inlineStr"/>
      <c r="F62" s="206">
        <f>IFERROR(VLOOKUP(A62,'Cadastro Geral Campistas'!$A:$R,8,0),"")</f>
        <v/>
      </c>
      <c r="G62" s="209" t="inlineStr"/>
    </row>
    <row r="63" ht="20" customHeight="1" s="121">
      <c r="A63" s="210" t="n">
        <v>78</v>
      </c>
      <c r="B63" s="211">
        <f>IFERROR(VLOOKUP(A63,'Cadastro Geral Campistas'!$A:$R,2,0),"")</f>
        <v/>
      </c>
      <c r="C63" s="211">
        <f>IFERROR(VLOOKUP(A63,'Cadastro Geral Campistas'!$A:$R,9,0),"")</f>
        <v/>
      </c>
      <c r="D63" s="255">
        <f>IFERROR(VLOOKUP(A63,'Cadastro Geral Campistas'!$A:$R,17,0),"")</f>
        <v/>
      </c>
      <c r="E63" s="213" t="inlineStr"/>
      <c r="F63" s="211">
        <f>IFERROR(VLOOKUP(A63,'Cadastro Geral Campistas'!$A:$R,8,0),"")</f>
        <v/>
      </c>
      <c r="G63" s="209" t="inlineStr"/>
    </row>
    <row r="64" ht="20" customHeight="1" s="121">
      <c r="A64" s="205" t="n">
        <v>83</v>
      </c>
      <c r="B64" s="206">
        <f>IFERROR(VLOOKUP(A64,'Cadastro Geral Campistas'!$A:$R,2,0),"")</f>
        <v/>
      </c>
      <c r="C64" s="206">
        <f>IFERROR(VLOOKUP(A64,'Cadastro Geral Campistas'!$A:$R,9,0),"")</f>
        <v/>
      </c>
      <c r="D64" s="215">
        <f>IFERROR(VLOOKUP(A64,'Cadastro Geral Campistas'!$A:$R,17,0),"")</f>
        <v/>
      </c>
      <c r="E64" s="208" t="inlineStr"/>
      <c r="F64" s="206">
        <f>IFERROR(VLOOKUP(A64,'Cadastro Geral Campistas'!$A:$R,8,0),"")</f>
        <v/>
      </c>
      <c r="G64" s="209" t="inlineStr"/>
    </row>
    <row r="65" ht="20" customHeight="1" s="121">
      <c r="A65" s="210" t="n">
        <v>87</v>
      </c>
      <c r="B65" s="211">
        <f>IFERROR(VLOOKUP(A65,'Cadastro Geral Campistas'!$A:$R,2,0),"")</f>
        <v/>
      </c>
      <c r="C65" s="211">
        <f>IFERROR(VLOOKUP(A65,'Cadastro Geral Campistas'!$A:$R,9,0),"")</f>
        <v/>
      </c>
      <c r="D65" s="214">
        <f>IFERROR(VLOOKUP(A65,'Cadastro Geral Campistas'!$A:$R,17,0),"")</f>
        <v/>
      </c>
      <c r="E65" s="213" t="inlineStr"/>
      <c r="F65" s="211">
        <f>IFERROR(VLOOKUP(A65,'Cadastro Geral Campistas'!$A:$R,8,0),"")</f>
        <v/>
      </c>
      <c r="G65" s="209" t="inlineStr"/>
    </row>
    <row r="66" ht="20" customHeight="1" s="121">
      <c r="A66" s="205" t="n">
        <v>94</v>
      </c>
      <c r="B66" s="206">
        <f>IFERROR(VLOOKUP(A66,'Cadastro Geral Campistas'!$A:$R,2,0),"")</f>
        <v/>
      </c>
      <c r="C66" s="206">
        <f>IFERROR(VLOOKUP(A66,'Cadastro Geral Campistas'!$A:$R,9,0),"")</f>
        <v/>
      </c>
      <c r="D66" s="256">
        <f>IFERROR(VLOOKUP(A66,'Cadastro Geral Campistas'!$A:$R,17,0),"")</f>
        <v/>
      </c>
      <c r="E66" s="208" t="inlineStr"/>
      <c r="F66" s="206">
        <f>IFERROR(VLOOKUP(A66,'Cadastro Geral Campistas'!$A:$R,8,0),"")</f>
        <v/>
      </c>
      <c r="G66" s="209" t="inlineStr"/>
    </row>
    <row r="67" ht="20" customHeight="1" s="121">
      <c r="A67" s="210" t="n">
        <v>98</v>
      </c>
      <c r="B67" s="211">
        <f>IFERROR(VLOOKUP(A67,'Cadastro Geral Campistas'!$A:$R,2,0),"")</f>
        <v/>
      </c>
      <c r="C67" s="211">
        <f>IFERROR(VLOOKUP(A67,'Cadastro Geral Campistas'!$A:$R,9,0),"")</f>
        <v/>
      </c>
      <c r="D67" s="220">
        <f>IFERROR(VLOOKUP(A67,'Cadastro Geral Campistas'!$A:$R,17,0),"")</f>
        <v/>
      </c>
      <c r="E67" s="213" t="inlineStr"/>
      <c r="F67" s="211">
        <f>IFERROR(VLOOKUP(A67,'Cadastro Geral Campistas'!$A:$R,8,0),"")</f>
        <v/>
      </c>
      <c r="G67" s="209" t="inlineStr"/>
    </row>
    <row r="68" ht="20" customHeight="1" s="121">
      <c r="A68" s="205" t="n">
        <v>103</v>
      </c>
      <c r="B68" s="206">
        <f>IFERROR(VLOOKUP(A68,'Cadastro Geral Campistas'!$A:$R,2,0),"")</f>
        <v/>
      </c>
      <c r="C68" s="206">
        <f>IFERROR(VLOOKUP(A68,'Cadastro Geral Campistas'!$A:$R,9,0),"")</f>
        <v/>
      </c>
      <c r="D68" s="214">
        <f>IFERROR(VLOOKUP(A68,'Cadastro Geral Campistas'!$A:$R,17,0),"")</f>
        <v/>
      </c>
      <c r="E68" s="208" t="inlineStr"/>
      <c r="F68" s="206">
        <f>IFERROR(VLOOKUP(A68,'Cadastro Geral Campistas'!$A:$R,8,0),"")</f>
        <v/>
      </c>
      <c r="G68" s="209" t="inlineStr"/>
    </row>
    <row r="69" ht="20" customHeight="1" s="121">
      <c r="A69" s="210" t="n">
        <v>108</v>
      </c>
      <c r="B69" s="211">
        <f>IFERROR(VLOOKUP(A69,'Cadastro Geral Campistas'!$A:$R,2,0),"")</f>
        <v/>
      </c>
      <c r="C69" s="211">
        <f>IFERROR(VLOOKUP(A69,'Cadastro Geral Campistas'!$A:$R,9,0),"")</f>
        <v/>
      </c>
      <c r="D69" s="214">
        <f>IFERROR(VLOOKUP(A69,'Cadastro Geral Campistas'!$A:$R,17,0),"")</f>
        <v/>
      </c>
      <c r="E69" s="213" t="inlineStr"/>
      <c r="F69" s="211">
        <f>IFERROR(VLOOKUP(A69,'Cadastro Geral Campistas'!$A:$R,8,0),"")</f>
        <v/>
      </c>
      <c r="G69" s="209" t="inlineStr"/>
    </row>
    <row r="70" ht="20" customHeight="1" s="121">
      <c r="A70" s="205" t="n">
        <v>112</v>
      </c>
      <c r="B70" s="206">
        <f>IFERROR(VLOOKUP(A70,'Cadastro Geral Campistas'!$A:$R,2,0),"")</f>
        <v/>
      </c>
      <c r="C70" s="206">
        <f>IFERROR(VLOOKUP(A70,'Cadastro Geral Campistas'!$A:$R,9,0),"")</f>
        <v/>
      </c>
      <c r="D70" s="218">
        <f>IFERROR(VLOOKUP(A70,'Cadastro Geral Campistas'!$A:$R,17,0),"")</f>
        <v/>
      </c>
      <c r="E70" s="208" t="inlineStr"/>
      <c r="F70" s="206">
        <f>IFERROR(VLOOKUP(A70,'Cadastro Geral Campistas'!$A:$R,8,0),"")</f>
        <v/>
      </c>
      <c r="G70" s="209" t="inlineStr"/>
    </row>
    <row r="71" ht="20" customHeight="1" s="121">
      <c r="A71" s="210" t="n">
        <v>116</v>
      </c>
      <c r="B71" s="211">
        <f>IFERROR(VLOOKUP(A71,'Cadastro Geral Campistas'!$A:$R,2,0),"")</f>
        <v/>
      </c>
      <c r="C71" s="211">
        <f>IFERROR(VLOOKUP(A71,'Cadastro Geral Campistas'!$A:$R,9,0),"")</f>
        <v/>
      </c>
      <c r="D71" s="255">
        <f>IFERROR(VLOOKUP(A71,'Cadastro Geral Campistas'!$A:$R,17,0),"")</f>
        <v/>
      </c>
      <c r="E71" s="213" t="inlineStr"/>
      <c r="F71" s="211">
        <f>IFERROR(VLOOKUP(A71,'Cadastro Geral Campistas'!$A:$R,8,0),"")</f>
        <v/>
      </c>
      <c r="G71" s="209" t="inlineStr"/>
    </row>
    <row r="72" ht="20" customHeight="1" s="121">
      <c r="A72" s="205" t="n">
        <v>121</v>
      </c>
      <c r="B72" s="206">
        <f>IFERROR(VLOOKUP(A72,'Cadastro Geral Campistas'!$A:$R,2,0),"")</f>
        <v/>
      </c>
      <c r="C72" s="206">
        <f>IFERROR(VLOOKUP(A72,'Cadastro Geral Campistas'!$A:$R,9,0),"")</f>
        <v/>
      </c>
      <c r="D72" s="255">
        <f>IFERROR(VLOOKUP(A72,'Cadastro Geral Campistas'!$A:$R,17,0),"")</f>
        <v/>
      </c>
      <c r="E72" s="208" t="inlineStr"/>
      <c r="F72" s="206">
        <f>IFERROR(VLOOKUP(A72,'Cadastro Geral Campistas'!$A:$R,8,0),"")</f>
        <v/>
      </c>
      <c r="G72" s="209" t="inlineStr"/>
    </row>
    <row r="73" ht="20" customHeight="1" s="121">
      <c r="A73" s="210" t="n">
        <v>125</v>
      </c>
      <c r="B73" s="211">
        <f>IFERROR(VLOOKUP(A73,'Cadastro Geral Campistas'!$A:$R,2,0),"")</f>
        <v/>
      </c>
      <c r="C73" s="211">
        <f>IFERROR(VLOOKUP(A73,'Cadastro Geral Campistas'!$A:$R,9,0),"")</f>
        <v/>
      </c>
      <c r="D73" s="253">
        <f>IFERROR(VLOOKUP(A73,'Cadastro Geral Campistas'!$A:$R,17,0),"")</f>
        <v/>
      </c>
      <c r="E73" s="213" t="inlineStr"/>
      <c r="F73" s="211">
        <f>IFERROR(VLOOKUP(A73,'Cadastro Geral Campistas'!$A:$R,8,0),"")</f>
        <v/>
      </c>
      <c r="G73" s="209" t="inlineStr"/>
    </row>
    <row r="74" ht="20" customHeight="1" s="121">
      <c r="A74" s="205" t="n">
        <v>129</v>
      </c>
      <c r="B74" s="206">
        <f>IFERROR(VLOOKUP(A74,'Cadastro Geral Campistas'!$A:$R,2,0),"")</f>
        <v/>
      </c>
      <c r="C74" s="206">
        <f>IFERROR(VLOOKUP(A74,'Cadastro Geral Campistas'!$A:$R,9,0),"")</f>
        <v/>
      </c>
      <c r="D74" s="255">
        <f>IFERROR(VLOOKUP(A74,'Cadastro Geral Campistas'!$A:$R,17,0),"")</f>
        <v/>
      </c>
      <c r="E74" s="208" t="inlineStr"/>
      <c r="F74" s="206">
        <f>IFERROR(VLOOKUP(A74,'Cadastro Geral Campistas'!$A:$R,8,0),"")</f>
        <v/>
      </c>
      <c r="G74" s="209" t="inlineStr"/>
    </row>
    <row r="75" ht="20" customHeight="1" s="121">
      <c r="A75" s="210" t="n">
        <v>133</v>
      </c>
      <c r="B75" s="211">
        <f>IFERROR(VLOOKUP(A75,'Cadastro Geral Campistas'!$A:$R,2,0),"")</f>
        <v/>
      </c>
      <c r="C75" s="211">
        <f>IFERROR(VLOOKUP(A75,'Cadastro Geral Campistas'!$A:$R,9,0),"")</f>
        <v/>
      </c>
      <c r="D75" s="207">
        <f>IFERROR(VLOOKUP(A75,'Cadastro Geral Campistas'!$A:$R,17,0),"")</f>
        <v/>
      </c>
      <c r="E75" s="213" t="inlineStr"/>
      <c r="F75" s="211">
        <f>IFERROR(VLOOKUP(A75,'Cadastro Geral Campistas'!$A:$R,8,0),"")</f>
        <v/>
      </c>
      <c r="G75" s="209" t="inlineStr"/>
    </row>
    <row r="76" ht="20" customHeight="1" s="121">
      <c r="A76" s="205" t="n">
        <v>138</v>
      </c>
      <c r="B76" s="206">
        <f>IFERROR(VLOOKUP(A76,'Cadastro Geral Campistas'!$A:$R,2,0),"")</f>
        <v/>
      </c>
      <c r="C76" s="206">
        <f>IFERROR(VLOOKUP(A76,'Cadastro Geral Campistas'!$A:$R,9,0),"")</f>
        <v/>
      </c>
      <c r="D76" s="253">
        <f>IFERROR(VLOOKUP(A76,'Cadastro Geral Campistas'!$A:$R,17,0),"")</f>
        <v/>
      </c>
      <c r="E76" s="208" t="inlineStr"/>
      <c r="F76" s="206">
        <f>IFERROR(VLOOKUP(A76,'Cadastro Geral Campistas'!$A:$R,8,0),"")</f>
        <v/>
      </c>
      <c r="G76" s="209" t="inlineStr"/>
    </row>
    <row r="77" ht="20" customHeight="1" s="121">
      <c r="A77" s="210" t="n">
        <v>142</v>
      </c>
      <c r="B77" s="211">
        <f>IFERROR(VLOOKUP(A77,'Cadastro Geral Campistas'!$A:$R,2,0),"")</f>
        <v/>
      </c>
      <c r="C77" s="211">
        <f>IFERROR(VLOOKUP(A77,'Cadastro Geral Campistas'!$A:$R,9,0),"")</f>
        <v/>
      </c>
      <c r="D77" s="256">
        <f>IFERROR(VLOOKUP(A77,'Cadastro Geral Campistas'!$A:$R,17,0),"")</f>
        <v/>
      </c>
      <c r="E77" s="213" t="inlineStr"/>
      <c r="F77" s="211">
        <f>IFERROR(VLOOKUP(A77,'Cadastro Geral Campistas'!$A:$R,8,0),"")</f>
        <v/>
      </c>
      <c r="G77" s="209" t="inlineStr"/>
    </row>
    <row r="79" ht="28" customHeight="1" s="121">
      <c r="A79" s="203">
        <f>CONCATENATE("ÔNIBUS 03  —  ",COUNTA(A81:A116)," campistas")</f>
        <v/>
      </c>
    </row>
    <row r="80" ht="22" customHeight="1" s="121">
      <c r="A80" s="204" t="inlineStr">
        <is>
          <t>FC ✏️</t>
        </is>
      </c>
      <c r="B80" s="204" t="inlineStr">
        <is>
          <t>CAMPISTAS</t>
        </is>
      </c>
      <c r="C80" s="204" t="inlineStr">
        <is>
          <t>CIDADE</t>
        </is>
      </c>
      <c r="D80" s="204" t="inlineStr">
        <is>
          <t>TRIBO</t>
        </is>
      </c>
      <c r="E80" s="204" t="inlineStr">
        <is>
          <t>FONE:</t>
        </is>
      </c>
      <c r="F80" s="204" t="inlineStr">
        <is>
          <t>CELULAR</t>
        </is>
      </c>
      <c r="G80" s="204" t="inlineStr">
        <is>
          <t>EMBARCOU ✅</t>
        </is>
      </c>
    </row>
    <row r="81" ht="20" customHeight="1" s="121">
      <c r="A81" s="240" t="n">
        <v>8</v>
      </c>
      <c r="B81" s="252">
        <f>IFERROR(VLOOKUP(A81,'Cadastro Geral Campistas'!$A:$R,2,0),"")</f>
        <v/>
      </c>
      <c r="C81" s="252">
        <f>IFERROR(VLOOKUP(A81,'Cadastro Geral Campistas'!$A:$R,9,0),"")</f>
        <v/>
      </c>
      <c r="D81" s="218">
        <f>IFERROR(VLOOKUP(A81,'Cadastro Geral Campistas'!$A:$R,17,0),"")</f>
        <v/>
      </c>
      <c r="E81" s="254" t="inlineStr"/>
      <c r="F81" s="252">
        <f>IFERROR(VLOOKUP(A81,'Cadastro Geral Campistas'!$A:$R,8,0),"")</f>
        <v/>
      </c>
      <c r="G81" s="209" t="inlineStr"/>
    </row>
    <row r="82" ht="20" customHeight="1" s="121">
      <c r="A82" s="240" t="n">
        <v>40</v>
      </c>
      <c r="B82" s="252">
        <f>IFERROR(VLOOKUP(A82,'Cadastro Geral Campistas'!$A:$R,2,0),"")</f>
        <v/>
      </c>
      <c r="C82" s="252">
        <f>IFERROR(VLOOKUP(A82,'Cadastro Geral Campistas'!$A:$R,9,0),"")</f>
        <v/>
      </c>
      <c r="D82" s="256">
        <f>IFERROR(VLOOKUP(A82,'Cadastro Geral Campistas'!$A:$R,17,0),"")</f>
        <v/>
      </c>
      <c r="E82" s="254" t="inlineStr"/>
      <c r="F82" s="252">
        <f>IFERROR(VLOOKUP(A82,'Cadastro Geral Campistas'!$A:$R,8,0),"")</f>
        <v/>
      </c>
      <c r="G82" s="209" t="inlineStr"/>
    </row>
    <row r="83" ht="20" customHeight="1" s="121">
      <c r="A83" s="240" t="n">
        <v>26</v>
      </c>
      <c r="B83" s="252">
        <f>IFERROR(VLOOKUP(A83,'Cadastro Geral Campistas'!$A:$R,2,0),"")</f>
        <v/>
      </c>
      <c r="C83" s="252">
        <f>IFERROR(VLOOKUP(A83,'Cadastro Geral Campistas'!$A:$R,9,0),"")</f>
        <v/>
      </c>
      <c r="D83" s="256">
        <f>IFERROR(VLOOKUP(A83,'Cadastro Geral Campistas'!$A:$R,17,0),"")</f>
        <v/>
      </c>
      <c r="E83" s="254" t="inlineStr"/>
      <c r="F83" s="252">
        <f>IFERROR(VLOOKUP(A83,'Cadastro Geral Campistas'!$A:$R,8,0),"")</f>
        <v/>
      </c>
      <c r="G83" s="209" t="inlineStr"/>
    </row>
    <row r="84" ht="20" customHeight="1" s="121">
      <c r="A84" s="240" t="n">
        <v>82</v>
      </c>
      <c r="B84" s="252">
        <f>IFERROR(VLOOKUP(A84,'Cadastro Geral Campistas'!$A:$R,2,0),"")</f>
        <v/>
      </c>
      <c r="C84" s="252">
        <f>IFERROR(VLOOKUP(A84,'Cadastro Geral Campistas'!$A:$R,9,0),"")</f>
        <v/>
      </c>
      <c r="D84" s="207">
        <f>IFERROR(VLOOKUP(A84,'Cadastro Geral Campistas'!$A:$R,17,0),"")</f>
        <v/>
      </c>
      <c r="E84" s="254" t="inlineStr"/>
      <c r="F84" s="252">
        <f>IFERROR(VLOOKUP(A84,'Cadastro Geral Campistas'!$A:$R,8,0),"")</f>
        <v/>
      </c>
      <c r="G84" s="209" t="inlineStr"/>
    </row>
    <row r="85" ht="20" customHeight="1" s="121">
      <c r="A85" s="205" t="n">
        <v>1</v>
      </c>
      <c r="B85" s="206">
        <f>IFERROR(VLOOKUP(A85,'Cadastro Geral Campistas'!$A:$R,2,0),"")</f>
        <v/>
      </c>
      <c r="C85" s="206">
        <f>IFERROR(VLOOKUP(A85,'Cadastro Geral Campistas'!$A:$R,9,0),"")</f>
        <v/>
      </c>
      <c r="D85" s="207">
        <f>IFERROR(VLOOKUP(A85,'Cadastro Geral Campistas'!$A:$R,17,0),"")</f>
        <v/>
      </c>
      <c r="E85" s="208" t="inlineStr"/>
      <c r="F85" s="206">
        <f>IFERROR(VLOOKUP(A85,'Cadastro Geral Campistas'!$A:$R,8,0),"")</f>
        <v/>
      </c>
      <c r="G85" s="209" t="inlineStr"/>
    </row>
    <row r="86" ht="20" customHeight="1" s="121">
      <c r="A86" s="210" t="n">
        <v>4</v>
      </c>
      <c r="B86" s="211">
        <f>IFERROR(VLOOKUP(A86,'Cadastro Geral Campistas'!$A:$R,2,0),"")</f>
        <v/>
      </c>
      <c r="C86" s="211">
        <f>IFERROR(VLOOKUP(A86,'Cadastro Geral Campistas'!$A:$R,9,0),"")</f>
        <v/>
      </c>
      <c r="D86" s="255">
        <f>IFERROR(VLOOKUP(A86,'Cadastro Geral Campistas'!$A:$R,17,0),"")</f>
        <v/>
      </c>
      <c r="E86" s="213" t="inlineStr"/>
      <c r="F86" s="211">
        <f>IFERROR(VLOOKUP(A86,'Cadastro Geral Campistas'!$A:$R,8,0),"")</f>
        <v/>
      </c>
      <c r="G86" s="209" t="inlineStr"/>
    </row>
    <row r="87" ht="20" customHeight="1" s="121">
      <c r="A87" s="205" t="n">
        <v>10</v>
      </c>
      <c r="B87" s="206">
        <f>IFERROR(VLOOKUP(A87,'Cadastro Geral Campistas'!$A:$R,2,0),"")</f>
        <v/>
      </c>
      <c r="C87" s="206">
        <f>IFERROR(VLOOKUP(A87,'Cadastro Geral Campistas'!$A:$R,9,0),"")</f>
        <v/>
      </c>
      <c r="D87" s="218">
        <f>IFERROR(VLOOKUP(A87,'Cadastro Geral Campistas'!$A:$R,17,0),"")</f>
        <v/>
      </c>
      <c r="E87" s="208" t="inlineStr"/>
      <c r="F87" s="206">
        <f>IFERROR(VLOOKUP(A87,'Cadastro Geral Campistas'!$A:$R,8,0),"")</f>
        <v/>
      </c>
      <c r="G87" s="209" t="inlineStr"/>
    </row>
    <row r="88" ht="20" customHeight="1" s="121">
      <c r="A88" s="210" t="n">
        <v>15</v>
      </c>
      <c r="B88" s="211">
        <f>IFERROR(VLOOKUP(A88,'Cadastro Geral Campistas'!$A:$R,2,0),"")</f>
        <v/>
      </c>
      <c r="C88" s="211">
        <f>IFERROR(VLOOKUP(A88,'Cadastro Geral Campistas'!$A:$R,9,0),"")</f>
        <v/>
      </c>
      <c r="D88" s="218">
        <f>IFERROR(VLOOKUP(A88,'Cadastro Geral Campistas'!$A:$R,17,0),"")</f>
        <v/>
      </c>
      <c r="E88" s="213" t="inlineStr"/>
      <c r="F88" s="211">
        <f>IFERROR(VLOOKUP(A88,'Cadastro Geral Campistas'!$A:$R,8,0),"")</f>
        <v/>
      </c>
      <c r="G88" s="209" t="inlineStr"/>
    </row>
    <row r="89" ht="20" customHeight="1" s="121">
      <c r="A89" s="205" t="n">
        <v>22</v>
      </c>
      <c r="B89" s="206">
        <f>IFERROR(VLOOKUP(A89,'Cadastro Geral Campistas'!$A:$R,2,0),"")</f>
        <v/>
      </c>
      <c r="C89" s="206">
        <f>IFERROR(VLOOKUP(A89,'Cadastro Geral Campistas'!$A:$R,9,0),"")</f>
        <v/>
      </c>
      <c r="D89" s="215">
        <f>IFERROR(VLOOKUP(A89,'Cadastro Geral Campistas'!$A:$R,17,0),"")</f>
        <v/>
      </c>
      <c r="E89" s="208" t="inlineStr"/>
      <c r="F89" s="206">
        <f>IFERROR(VLOOKUP(A89,'Cadastro Geral Campistas'!$A:$R,8,0),"")</f>
        <v/>
      </c>
      <c r="G89" s="209" t="inlineStr"/>
    </row>
    <row r="90" ht="20" customHeight="1" s="121">
      <c r="A90" s="210" t="n">
        <v>27</v>
      </c>
      <c r="B90" s="211">
        <f>IFERROR(VLOOKUP(A90,'Cadastro Geral Campistas'!$A:$R,2,0),"")</f>
        <v/>
      </c>
      <c r="C90" s="211">
        <f>IFERROR(VLOOKUP(A90,'Cadastro Geral Campistas'!$A:$R,9,0),"")</f>
        <v/>
      </c>
      <c r="D90" s="255">
        <f>IFERROR(VLOOKUP(A90,'Cadastro Geral Campistas'!$A:$R,17,0),"")</f>
        <v/>
      </c>
      <c r="E90" s="213" t="inlineStr"/>
      <c r="F90" s="211">
        <f>IFERROR(VLOOKUP(A90,'Cadastro Geral Campistas'!$A:$R,8,0),"")</f>
        <v/>
      </c>
      <c r="G90" s="209" t="inlineStr"/>
    </row>
    <row r="91" ht="20" customHeight="1" s="121">
      <c r="A91" s="205" t="n">
        <v>31</v>
      </c>
      <c r="B91" s="206">
        <f>IFERROR(VLOOKUP(A91,'Cadastro Geral Campistas'!$A:$R,2,0),"")</f>
        <v/>
      </c>
      <c r="C91" s="206">
        <f>IFERROR(VLOOKUP(A91,'Cadastro Geral Campistas'!$A:$R,9,0),"")</f>
        <v/>
      </c>
      <c r="D91" s="220">
        <f>IFERROR(VLOOKUP(A91,'Cadastro Geral Campistas'!$A:$R,17,0),"")</f>
        <v/>
      </c>
      <c r="E91" s="208" t="inlineStr"/>
      <c r="F91" s="206">
        <f>IFERROR(VLOOKUP(A91,'Cadastro Geral Campistas'!$A:$R,8,0),"")</f>
        <v/>
      </c>
      <c r="G91" s="209" t="inlineStr"/>
    </row>
    <row r="92" ht="20" customHeight="1" s="121">
      <c r="A92" s="210" t="n">
        <v>37</v>
      </c>
      <c r="B92" s="211">
        <f>IFERROR(VLOOKUP(A92,'Cadastro Geral Campistas'!$A:$R,2,0),"")</f>
        <v/>
      </c>
      <c r="C92" s="211">
        <f>IFERROR(VLOOKUP(A92,'Cadastro Geral Campistas'!$A:$R,9,0),"")</f>
        <v/>
      </c>
      <c r="D92" s="249">
        <f>IFERROR(VLOOKUP(A92,'Cadastro Geral Campistas'!$A:$R,17,0),"")</f>
        <v/>
      </c>
      <c r="E92" s="213" t="inlineStr"/>
      <c r="F92" s="211">
        <f>IFERROR(VLOOKUP(A92,'Cadastro Geral Campistas'!$A:$R,8,0),"")</f>
        <v/>
      </c>
      <c r="G92" s="209" t="inlineStr"/>
    </row>
    <row r="93" ht="20" customHeight="1" s="121">
      <c r="A93" s="205" t="n">
        <v>42</v>
      </c>
      <c r="B93" s="206">
        <f>IFERROR(VLOOKUP(A93,'Cadastro Geral Campistas'!$A:$R,2,0),"")</f>
        <v/>
      </c>
      <c r="C93" s="206">
        <f>IFERROR(VLOOKUP(A93,'Cadastro Geral Campistas'!$A:$R,9,0),"")</f>
        <v/>
      </c>
      <c r="D93" s="253">
        <f>IFERROR(VLOOKUP(A93,'Cadastro Geral Campistas'!$A:$R,17,0),"")</f>
        <v/>
      </c>
      <c r="E93" s="208" t="inlineStr"/>
      <c r="F93" s="206">
        <f>IFERROR(VLOOKUP(A93,'Cadastro Geral Campistas'!$A:$R,8,0),"")</f>
        <v/>
      </c>
      <c r="G93" s="209" t="inlineStr"/>
    </row>
    <row r="94" ht="20" customHeight="1" s="121">
      <c r="A94" s="210" t="n">
        <v>46</v>
      </c>
      <c r="B94" s="211">
        <f>IFERROR(VLOOKUP(A94,'Cadastro Geral Campistas'!$A:$R,2,0),"")</f>
        <v/>
      </c>
      <c r="C94" s="211">
        <f>IFERROR(VLOOKUP(A94,'Cadastro Geral Campistas'!$A:$R,9,0),"")</f>
        <v/>
      </c>
      <c r="D94" s="218">
        <f>IFERROR(VLOOKUP(A94,'Cadastro Geral Campistas'!$A:$R,17,0),"")</f>
        <v/>
      </c>
      <c r="E94" s="213" t="inlineStr"/>
      <c r="F94" s="211">
        <f>IFERROR(VLOOKUP(A94,'Cadastro Geral Campistas'!$A:$R,8,0),"")</f>
        <v/>
      </c>
      <c r="G94" s="209" t="inlineStr"/>
    </row>
    <row r="95" ht="20" customHeight="1" s="121">
      <c r="A95" s="205" t="n">
        <v>50</v>
      </c>
      <c r="B95" s="206">
        <f>IFERROR(VLOOKUP(A95,'Cadastro Geral Campistas'!$A:$R,2,0),"")</f>
        <v/>
      </c>
      <c r="C95" s="206">
        <f>IFERROR(VLOOKUP(A95,'Cadastro Geral Campistas'!$A:$R,9,0),"")</f>
        <v/>
      </c>
      <c r="D95" s="255">
        <f>IFERROR(VLOOKUP(A95,'Cadastro Geral Campistas'!$A:$R,17,0),"")</f>
        <v/>
      </c>
      <c r="E95" s="208" t="inlineStr"/>
      <c r="F95" s="206">
        <f>IFERROR(VLOOKUP(A95,'Cadastro Geral Campistas'!$A:$R,8,0),"")</f>
        <v/>
      </c>
      <c r="G95" s="209" t="inlineStr"/>
    </row>
    <row r="96" ht="20" customHeight="1" s="121">
      <c r="A96" s="210" t="n">
        <v>54</v>
      </c>
      <c r="B96" s="211">
        <f>IFERROR(VLOOKUP(A96,'Cadastro Geral Campistas'!$A:$R,2,0),"")</f>
        <v/>
      </c>
      <c r="C96" s="211">
        <f>IFERROR(VLOOKUP(A96,'Cadastro Geral Campistas'!$A:$R,9,0),"")</f>
        <v/>
      </c>
      <c r="D96" s="220">
        <f>IFERROR(VLOOKUP(A96,'Cadastro Geral Campistas'!$A:$R,17,0),"")</f>
        <v/>
      </c>
      <c r="E96" s="213" t="inlineStr"/>
      <c r="F96" s="211">
        <f>IFERROR(VLOOKUP(A96,'Cadastro Geral Campistas'!$A:$R,8,0),"")</f>
        <v/>
      </c>
      <c r="G96" s="209" t="inlineStr"/>
    </row>
    <row r="97" ht="20" customHeight="1" s="121">
      <c r="A97" s="205" t="n">
        <v>58</v>
      </c>
      <c r="B97" s="206">
        <f>IFERROR(VLOOKUP(A97,'Cadastro Geral Campistas'!$A:$R,2,0),"")</f>
        <v/>
      </c>
      <c r="C97" s="206">
        <f>IFERROR(VLOOKUP(A97,'Cadastro Geral Campistas'!$A:$R,9,0),"")</f>
        <v/>
      </c>
      <c r="D97" s="249">
        <f>IFERROR(VLOOKUP(A97,'Cadastro Geral Campistas'!$A:$R,17,0),"")</f>
        <v/>
      </c>
      <c r="E97" s="208" t="inlineStr"/>
      <c r="F97" s="206">
        <f>IFERROR(VLOOKUP(A97,'Cadastro Geral Campistas'!$A:$R,8,0),"")</f>
        <v/>
      </c>
      <c r="G97" s="209" t="inlineStr"/>
    </row>
    <row r="98" ht="20" customHeight="1" s="121">
      <c r="A98" s="210" t="n">
        <v>62</v>
      </c>
      <c r="B98" s="211">
        <f>IFERROR(VLOOKUP(A98,'Cadastro Geral Campistas'!$A:$R,2,0),"")</f>
        <v/>
      </c>
      <c r="C98" s="211">
        <f>IFERROR(VLOOKUP(A98,'Cadastro Geral Campistas'!$A:$R,9,0),"")</f>
        <v/>
      </c>
      <c r="D98" s="256">
        <f>IFERROR(VLOOKUP(A98,'Cadastro Geral Campistas'!$A:$R,17,0),"")</f>
        <v/>
      </c>
      <c r="E98" s="213" t="inlineStr"/>
      <c r="F98" s="211">
        <f>IFERROR(VLOOKUP(A98,'Cadastro Geral Campistas'!$A:$R,8,0),"")</f>
        <v/>
      </c>
      <c r="G98" s="209" t="inlineStr"/>
    </row>
    <row r="99" ht="20" customHeight="1" s="121">
      <c r="A99" s="205" t="n">
        <v>66</v>
      </c>
      <c r="B99" s="206">
        <f>IFERROR(VLOOKUP(A99,'Cadastro Geral Campistas'!$A:$R,2,0),"")</f>
        <v/>
      </c>
      <c r="C99" s="206">
        <f>IFERROR(VLOOKUP(A99,'Cadastro Geral Campistas'!$A:$R,9,0),"")</f>
        <v/>
      </c>
      <c r="D99" s="249">
        <f>IFERROR(VLOOKUP(A99,'Cadastro Geral Campistas'!$A:$R,17,0),"")</f>
        <v/>
      </c>
      <c r="E99" s="208" t="inlineStr"/>
      <c r="F99" s="206">
        <f>IFERROR(VLOOKUP(A99,'Cadastro Geral Campistas'!$A:$R,8,0),"")</f>
        <v/>
      </c>
      <c r="G99" s="209" t="inlineStr"/>
    </row>
    <row r="100" ht="20" customHeight="1" s="121">
      <c r="A100" s="210" t="n">
        <v>70</v>
      </c>
      <c r="B100" s="211">
        <f>IFERROR(VLOOKUP(A100,'Cadastro Geral Campistas'!$A:$R,2,0),"")</f>
        <v/>
      </c>
      <c r="C100" s="211">
        <f>IFERROR(VLOOKUP(A100,'Cadastro Geral Campistas'!$A:$R,9,0),"")</f>
        <v/>
      </c>
      <c r="D100" s="249">
        <f>IFERROR(VLOOKUP(A100,'Cadastro Geral Campistas'!$A:$R,17,0),"")</f>
        <v/>
      </c>
      <c r="E100" s="213" t="inlineStr"/>
      <c r="F100" s="211">
        <f>IFERROR(VLOOKUP(A100,'Cadastro Geral Campistas'!$A:$R,8,0),"")</f>
        <v/>
      </c>
      <c r="G100" s="209" t="inlineStr"/>
    </row>
    <row r="101" ht="20" customHeight="1" s="121">
      <c r="A101" s="205" t="n">
        <v>75</v>
      </c>
      <c r="B101" s="206">
        <f>IFERROR(VLOOKUP(A101,'Cadastro Geral Campistas'!$A:$R,2,0),"")</f>
        <v/>
      </c>
      <c r="C101" s="206">
        <f>IFERROR(VLOOKUP(A101,'Cadastro Geral Campistas'!$A:$R,9,0),"")</f>
        <v/>
      </c>
      <c r="D101" s="220">
        <f>IFERROR(VLOOKUP(A101,'Cadastro Geral Campistas'!$A:$R,17,0),"")</f>
        <v/>
      </c>
      <c r="E101" s="208" t="inlineStr"/>
      <c r="F101" s="206">
        <f>IFERROR(VLOOKUP(A101,'Cadastro Geral Campistas'!$A:$R,8,0),"")</f>
        <v/>
      </c>
      <c r="G101" s="209" t="inlineStr"/>
    </row>
    <row r="102" ht="20" customHeight="1" s="121">
      <c r="A102" s="210" t="n">
        <v>79</v>
      </c>
      <c r="B102" s="211">
        <f>IFERROR(VLOOKUP(A102,'Cadastro Geral Campistas'!$A:$R,2,0),"")</f>
        <v/>
      </c>
      <c r="C102" s="211">
        <f>IFERROR(VLOOKUP(A102,'Cadastro Geral Campistas'!$A:$R,9,0),"")</f>
        <v/>
      </c>
      <c r="D102" s="255">
        <f>IFERROR(VLOOKUP(A102,'Cadastro Geral Campistas'!$A:$R,17,0),"")</f>
        <v/>
      </c>
      <c r="E102" s="213" t="inlineStr"/>
      <c r="F102" s="211">
        <f>IFERROR(VLOOKUP(A102,'Cadastro Geral Campistas'!$A:$R,8,0),"")</f>
        <v/>
      </c>
      <c r="G102" s="209" t="inlineStr"/>
    </row>
    <row r="103" ht="20" customHeight="1" s="121">
      <c r="A103" s="205" t="n">
        <v>84</v>
      </c>
      <c r="B103" s="206">
        <f>IFERROR(VLOOKUP(A103,'Cadastro Geral Campistas'!$A:$R,2,0),"")</f>
        <v/>
      </c>
      <c r="C103" s="206">
        <f>IFERROR(VLOOKUP(A103,'Cadastro Geral Campistas'!$A:$R,9,0),"")</f>
        <v/>
      </c>
      <c r="D103" s="253">
        <f>IFERROR(VLOOKUP(A103,'Cadastro Geral Campistas'!$A:$R,17,0),"")</f>
        <v/>
      </c>
      <c r="E103" s="208" t="inlineStr"/>
      <c r="F103" s="206">
        <f>IFERROR(VLOOKUP(A103,'Cadastro Geral Campistas'!$A:$R,8,0),"")</f>
        <v/>
      </c>
      <c r="G103" s="209" t="inlineStr"/>
    </row>
    <row r="104" ht="20" customHeight="1" s="121">
      <c r="A104" s="210" t="n">
        <v>88</v>
      </c>
      <c r="B104" s="211">
        <f>IFERROR(VLOOKUP(A104,'Cadastro Geral Campistas'!$A:$R,2,0),"")</f>
        <v/>
      </c>
      <c r="C104" s="211">
        <f>IFERROR(VLOOKUP(A104,'Cadastro Geral Campistas'!$A:$R,9,0),"")</f>
        <v/>
      </c>
      <c r="D104" s="253">
        <f>IFERROR(VLOOKUP(A104,'Cadastro Geral Campistas'!$A:$R,17,0),"")</f>
        <v/>
      </c>
      <c r="E104" s="213" t="inlineStr"/>
      <c r="F104" s="211">
        <f>IFERROR(VLOOKUP(A104,'Cadastro Geral Campistas'!$A:$R,8,0),"")</f>
        <v/>
      </c>
      <c r="G104" s="209" t="inlineStr"/>
    </row>
    <row r="105" ht="20" customHeight="1" s="121">
      <c r="A105" s="205" t="n">
        <v>95</v>
      </c>
      <c r="B105" s="206">
        <f>IFERROR(VLOOKUP(A105,'Cadastro Geral Campistas'!$A:$R,2,0),"")</f>
        <v/>
      </c>
      <c r="C105" s="206">
        <f>IFERROR(VLOOKUP(A105,'Cadastro Geral Campistas'!$A:$R,9,0),"")</f>
        <v/>
      </c>
      <c r="D105" s="256">
        <f>IFERROR(VLOOKUP(A105,'Cadastro Geral Campistas'!$A:$R,17,0),"")</f>
        <v/>
      </c>
      <c r="E105" s="208" t="inlineStr"/>
      <c r="F105" s="206">
        <f>IFERROR(VLOOKUP(A105,'Cadastro Geral Campistas'!$A:$R,8,0),"")</f>
        <v/>
      </c>
      <c r="G105" s="209" t="inlineStr"/>
    </row>
    <row r="106" ht="20" customHeight="1" s="121">
      <c r="A106" s="210" t="n">
        <v>99</v>
      </c>
      <c r="B106" s="211">
        <f>IFERROR(VLOOKUP(A106,'Cadastro Geral Campistas'!$A:$R,2,0),"")</f>
        <v/>
      </c>
      <c r="C106" s="211">
        <f>IFERROR(VLOOKUP(A106,'Cadastro Geral Campistas'!$A:$R,9,0),"")</f>
        <v/>
      </c>
      <c r="D106" s="253">
        <f>IFERROR(VLOOKUP(A106,'Cadastro Geral Campistas'!$A:$R,17,0),"")</f>
        <v/>
      </c>
      <c r="E106" s="213" t="inlineStr"/>
      <c r="F106" s="211">
        <f>IFERROR(VLOOKUP(A106,'Cadastro Geral Campistas'!$A:$R,8,0),"")</f>
        <v/>
      </c>
      <c r="G106" s="209" t="inlineStr"/>
    </row>
    <row r="107" ht="20" customHeight="1" s="121">
      <c r="A107" s="205" t="n">
        <v>104</v>
      </c>
      <c r="B107" s="206">
        <f>IFERROR(VLOOKUP(A107,'Cadastro Geral Campistas'!$A:$R,2,0),"")</f>
        <v/>
      </c>
      <c r="C107" s="206">
        <f>IFERROR(VLOOKUP(A107,'Cadastro Geral Campistas'!$A:$R,9,0),"")</f>
        <v/>
      </c>
      <c r="D107" s="215">
        <f>IFERROR(VLOOKUP(A107,'Cadastro Geral Campistas'!$A:$R,17,0),"")</f>
        <v/>
      </c>
      <c r="E107" s="208" t="inlineStr"/>
      <c r="F107" s="206">
        <f>IFERROR(VLOOKUP(A107,'Cadastro Geral Campistas'!$A:$R,8,0),"")</f>
        <v/>
      </c>
      <c r="G107" s="209" t="inlineStr"/>
    </row>
    <row r="108" ht="20" customHeight="1" s="121">
      <c r="A108" s="210" t="n">
        <v>109</v>
      </c>
      <c r="B108" s="211">
        <f>IFERROR(VLOOKUP(A108,'Cadastro Geral Campistas'!$A:$R,2,0),"")</f>
        <v/>
      </c>
      <c r="C108" s="211">
        <f>IFERROR(VLOOKUP(A108,'Cadastro Geral Campistas'!$A:$R,9,0),"")</f>
        <v/>
      </c>
      <c r="D108" s="215">
        <f>IFERROR(VLOOKUP(A108,'Cadastro Geral Campistas'!$A:$R,17,0),"")</f>
        <v/>
      </c>
      <c r="E108" s="213" t="inlineStr"/>
      <c r="F108" s="211">
        <f>IFERROR(VLOOKUP(A108,'Cadastro Geral Campistas'!$A:$R,8,0),"")</f>
        <v/>
      </c>
      <c r="G108" s="209" t="inlineStr"/>
    </row>
    <row r="109" ht="20" customHeight="1" s="121">
      <c r="A109" s="205" t="n">
        <v>113</v>
      </c>
      <c r="B109" s="206">
        <f>IFERROR(VLOOKUP(A109,'Cadastro Geral Campistas'!$A:$R,2,0),"")</f>
        <v/>
      </c>
      <c r="C109" s="206">
        <f>IFERROR(VLOOKUP(A109,'Cadastro Geral Campistas'!$A:$R,9,0),"")</f>
        <v/>
      </c>
      <c r="D109" s="255">
        <f>IFERROR(VLOOKUP(A109,'Cadastro Geral Campistas'!$A:$R,17,0),"")</f>
        <v/>
      </c>
      <c r="E109" s="208" t="inlineStr"/>
      <c r="F109" s="206">
        <f>IFERROR(VLOOKUP(A109,'Cadastro Geral Campistas'!$A:$R,8,0),"")</f>
        <v/>
      </c>
      <c r="G109" s="209" t="inlineStr"/>
    </row>
    <row r="110" ht="20" customHeight="1" s="121">
      <c r="A110" s="210" t="n">
        <v>117</v>
      </c>
      <c r="B110" s="211">
        <f>IFERROR(VLOOKUP(A110,'Cadastro Geral Campistas'!$A:$R,2,0),"")</f>
        <v/>
      </c>
      <c r="C110" s="211">
        <f>IFERROR(VLOOKUP(A110,'Cadastro Geral Campistas'!$A:$R,9,0),"")</f>
        <v/>
      </c>
      <c r="D110" s="218">
        <f>IFERROR(VLOOKUP(A110,'Cadastro Geral Campistas'!$A:$R,17,0),"")</f>
        <v/>
      </c>
      <c r="E110" s="213" t="inlineStr"/>
      <c r="F110" s="211">
        <f>IFERROR(VLOOKUP(A110,'Cadastro Geral Campistas'!$A:$R,8,0),"")</f>
        <v/>
      </c>
      <c r="G110" s="209" t="inlineStr"/>
    </row>
    <row r="111" ht="20" customHeight="1" s="121">
      <c r="A111" s="205" t="n">
        <v>122</v>
      </c>
      <c r="B111" s="206">
        <f>IFERROR(VLOOKUP(A111,'Cadastro Geral Campistas'!$A:$R,2,0),"")</f>
        <v/>
      </c>
      <c r="C111" s="206">
        <f>IFERROR(VLOOKUP(A111,'Cadastro Geral Campistas'!$A:$R,9,0),"")</f>
        <v/>
      </c>
      <c r="D111" s="220">
        <f>IFERROR(VLOOKUP(A111,'Cadastro Geral Campistas'!$A:$R,17,0),"")</f>
        <v/>
      </c>
      <c r="E111" s="208" t="inlineStr"/>
      <c r="F111" s="206">
        <f>IFERROR(VLOOKUP(A111,'Cadastro Geral Campistas'!$A:$R,8,0),"")</f>
        <v/>
      </c>
      <c r="G111" s="209" t="inlineStr"/>
    </row>
    <row r="112" ht="20" customHeight="1" s="121">
      <c r="A112" s="210" t="n">
        <v>126</v>
      </c>
      <c r="B112" s="211">
        <f>IFERROR(VLOOKUP(A112,'Cadastro Geral Campistas'!$A:$R,2,0),"")</f>
        <v/>
      </c>
      <c r="C112" s="211">
        <f>IFERROR(VLOOKUP(A112,'Cadastro Geral Campistas'!$A:$R,9,0),"")</f>
        <v/>
      </c>
      <c r="D112" s="207">
        <f>IFERROR(VLOOKUP(A112,'Cadastro Geral Campistas'!$A:$R,17,0),"")</f>
        <v/>
      </c>
      <c r="E112" s="213" t="inlineStr"/>
      <c r="F112" s="211">
        <f>IFERROR(VLOOKUP(A112,'Cadastro Geral Campistas'!$A:$R,8,0),"")</f>
        <v/>
      </c>
      <c r="G112" s="209" t="inlineStr"/>
    </row>
    <row r="113" ht="20" customHeight="1" s="121">
      <c r="A113" s="205" t="n">
        <v>130</v>
      </c>
      <c r="B113" s="206">
        <f>IFERROR(VLOOKUP(A113,'Cadastro Geral Campistas'!$A:$R,2,0),"")</f>
        <v/>
      </c>
      <c r="C113" s="206">
        <f>IFERROR(VLOOKUP(A113,'Cadastro Geral Campistas'!$A:$R,9,0),"")</f>
        <v/>
      </c>
      <c r="D113" s="214">
        <f>IFERROR(VLOOKUP(A113,'Cadastro Geral Campistas'!$A:$R,17,0),"")</f>
        <v/>
      </c>
      <c r="E113" s="208" t="inlineStr"/>
      <c r="F113" s="206">
        <f>IFERROR(VLOOKUP(A113,'Cadastro Geral Campistas'!$A:$R,8,0),"")</f>
        <v/>
      </c>
      <c r="G113" s="209" t="inlineStr"/>
    </row>
    <row r="114" ht="20" customHeight="1" s="121">
      <c r="A114" s="210" t="n">
        <v>134</v>
      </c>
      <c r="B114" s="211">
        <f>IFERROR(VLOOKUP(A114,'Cadastro Geral Campistas'!$A:$R,2,0),"")</f>
        <v/>
      </c>
      <c r="C114" s="211">
        <f>IFERROR(VLOOKUP(A114,'Cadastro Geral Campistas'!$A:$R,9,0),"")</f>
        <v/>
      </c>
      <c r="D114" s="207">
        <f>IFERROR(VLOOKUP(A114,'Cadastro Geral Campistas'!$A:$R,17,0),"")</f>
        <v/>
      </c>
      <c r="E114" s="213" t="inlineStr"/>
      <c r="F114" s="211">
        <f>IFERROR(VLOOKUP(A114,'Cadastro Geral Campistas'!$A:$R,8,0),"")</f>
        <v/>
      </c>
      <c r="G114" s="209" t="inlineStr"/>
    </row>
    <row r="115" ht="20" customHeight="1" s="121">
      <c r="A115" s="205" t="n">
        <v>139</v>
      </c>
      <c r="B115" s="206">
        <f>IFERROR(VLOOKUP(A115,'Cadastro Geral Campistas'!$A:$R,2,0),"")</f>
        <v/>
      </c>
      <c r="C115" s="206">
        <f>IFERROR(VLOOKUP(A115,'Cadastro Geral Campistas'!$A:$R,9,0),"")</f>
        <v/>
      </c>
      <c r="D115" s="220">
        <f>IFERROR(VLOOKUP(A115,'Cadastro Geral Campistas'!$A:$R,17,0),"")</f>
        <v/>
      </c>
      <c r="E115" s="208" t="inlineStr"/>
      <c r="F115" s="206">
        <f>IFERROR(VLOOKUP(A115,'Cadastro Geral Campistas'!$A:$R,8,0),"")</f>
        <v/>
      </c>
      <c r="G115" s="209" t="inlineStr"/>
    </row>
    <row r="116" ht="20" customHeight="1" s="121">
      <c r="A116" s="210" t="n">
        <v>143</v>
      </c>
      <c r="B116" s="211">
        <f>IFERROR(VLOOKUP(A116,'Cadastro Geral Campistas'!$A:$R,2,0),"")</f>
        <v/>
      </c>
      <c r="C116" s="211">
        <f>IFERROR(VLOOKUP(A116,'Cadastro Geral Campistas'!$A:$R,9,0),"")</f>
        <v/>
      </c>
      <c r="D116" s="249">
        <f>IFERROR(VLOOKUP(A116,'Cadastro Geral Campistas'!$A:$R,17,0),"")</f>
        <v/>
      </c>
      <c r="E116" s="213" t="inlineStr"/>
      <c r="F116" s="211">
        <f>IFERROR(VLOOKUP(A116,'Cadastro Geral Campistas'!$A:$R,8,0),"")</f>
        <v/>
      </c>
      <c r="G116" s="209" t="inlineStr"/>
    </row>
    <row r="118" ht="28" customHeight="1" s="121">
      <c r="A118" s="203">
        <f>CONCATENATE("ÔNIBUS 04  —  ",COUNTA(A120:A154)," campistas")</f>
        <v/>
      </c>
    </row>
    <row r="119" ht="22" customHeight="1" s="121">
      <c r="A119" s="204" t="inlineStr">
        <is>
          <t>FC ✏️</t>
        </is>
      </c>
      <c r="B119" s="204" t="inlineStr">
        <is>
          <t>CAMPISTAS</t>
        </is>
      </c>
      <c r="C119" s="204" t="inlineStr">
        <is>
          <t>CIDADE</t>
        </is>
      </c>
      <c r="D119" s="204" t="inlineStr">
        <is>
          <t>TRIBO</t>
        </is>
      </c>
      <c r="E119" s="204" t="inlineStr">
        <is>
          <t>FONE:</t>
        </is>
      </c>
      <c r="F119" s="204" t="inlineStr">
        <is>
          <t>CELULAR</t>
        </is>
      </c>
      <c r="G119" s="204" t="inlineStr">
        <is>
          <t>EMBARCOU ✅</t>
        </is>
      </c>
    </row>
    <row r="120" ht="20" customHeight="1" s="121">
      <c r="A120" s="240" t="n">
        <v>12</v>
      </c>
      <c r="B120" s="252">
        <f>IFERROR(VLOOKUP(A120,'Cadastro Geral Campistas'!$A:$R,2,0),"")</f>
        <v/>
      </c>
      <c r="C120" s="252">
        <f>IFERROR(VLOOKUP(A120,'Cadastro Geral Campistas'!$A:$R,9,0),"")</f>
        <v/>
      </c>
      <c r="D120" s="249">
        <f>IFERROR(VLOOKUP(A120,'Cadastro Geral Campistas'!$A:$R,17,0),"")</f>
        <v/>
      </c>
      <c r="E120" s="254" t="inlineStr"/>
      <c r="F120" s="252">
        <f>IFERROR(VLOOKUP(A120,'Cadastro Geral Campistas'!$A:$R,8,0),"")</f>
        <v/>
      </c>
      <c r="G120" s="209" t="inlineStr"/>
    </row>
    <row r="121" ht="20" customHeight="1" s="121">
      <c r="A121" s="240" t="n">
        <v>92</v>
      </c>
      <c r="B121" s="252">
        <f>IFERROR(VLOOKUP(A121,'Cadastro Geral Campistas'!$A:$R,2,0),"")</f>
        <v/>
      </c>
      <c r="C121" s="252">
        <f>IFERROR(VLOOKUP(A121,'Cadastro Geral Campistas'!$A:$R,9,0),"")</f>
        <v/>
      </c>
      <c r="D121" s="256">
        <f>IFERROR(VLOOKUP(A121,'Cadastro Geral Campistas'!$A:$R,17,0),"")</f>
        <v/>
      </c>
      <c r="E121" s="254" t="inlineStr"/>
      <c r="F121" s="252">
        <f>IFERROR(VLOOKUP(A121,'Cadastro Geral Campistas'!$A:$R,8,0),"")</f>
        <v/>
      </c>
      <c r="G121" s="209" t="inlineStr"/>
    </row>
    <row r="122" ht="20" customHeight="1" s="121">
      <c r="A122" s="240" t="n">
        <v>32</v>
      </c>
      <c r="B122" s="252">
        <f>IFERROR(VLOOKUP(A122,'Cadastro Geral Campistas'!$A:$R,2,0),"")</f>
        <v/>
      </c>
      <c r="C122" s="252">
        <f>IFERROR(VLOOKUP(A122,'Cadastro Geral Campistas'!$A:$R,9,0),"")</f>
        <v/>
      </c>
      <c r="D122" s="215">
        <f>IFERROR(VLOOKUP(A122,'Cadastro Geral Campistas'!$A:$R,17,0),"")</f>
        <v/>
      </c>
      <c r="E122" s="254" t="inlineStr"/>
      <c r="F122" s="252">
        <f>IFERROR(VLOOKUP(A122,'Cadastro Geral Campistas'!$A:$R,8,0),"")</f>
        <v/>
      </c>
      <c r="G122" s="209" t="inlineStr"/>
    </row>
    <row r="123" ht="20" customHeight="1" s="121">
      <c r="A123" s="240" t="n">
        <v>33</v>
      </c>
      <c r="B123" s="252">
        <f>IFERROR(VLOOKUP(A123,'Cadastro Geral Campistas'!$A:$R,2,0),"")</f>
        <v/>
      </c>
      <c r="C123" s="252">
        <f>IFERROR(VLOOKUP(A123,'Cadastro Geral Campistas'!$A:$R,9,0),"")</f>
        <v/>
      </c>
      <c r="D123" s="207">
        <f>IFERROR(VLOOKUP(A123,'Cadastro Geral Campistas'!$A:$R,17,0),"")</f>
        <v/>
      </c>
      <c r="E123" s="254" t="inlineStr"/>
      <c r="F123" s="252">
        <f>IFERROR(VLOOKUP(A123,'Cadastro Geral Campistas'!$A:$R,8,0),"")</f>
        <v/>
      </c>
      <c r="G123" s="209" t="inlineStr"/>
    </row>
    <row r="124" ht="20" customHeight="1" s="121">
      <c r="A124" s="205" t="n">
        <v>2</v>
      </c>
      <c r="B124" s="206">
        <f>IFERROR(VLOOKUP(A124,'Cadastro Geral Campistas'!$A:$R,2,0),"")</f>
        <v/>
      </c>
      <c r="C124" s="206">
        <f>IFERROR(VLOOKUP(A124,'Cadastro Geral Campistas'!$A:$R,9,0),"")</f>
        <v/>
      </c>
      <c r="D124" s="215">
        <f>IFERROR(VLOOKUP(A124,'Cadastro Geral Campistas'!$A:$R,17,0),"")</f>
        <v/>
      </c>
      <c r="E124" s="208" t="inlineStr"/>
      <c r="F124" s="206">
        <f>IFERROR(VLOOKUP(A124,'Cadastro Geral Campistas'!$A:$R,8,0),"")</f>
        <v/>
      </c>
      <c r="G124" s="209" t="inlineStr"/>
    </row>
    <row r="125" ht="20" customHeight="1" s="121">
      <c r="A125" s="210" t="n">
        <v>5</v>
      </c>
      <c r="B125" s="211">
        <f>IFERROR(VLOOKUP(A125,'Cadastro Geral Campistas'!$A:$R,2,0),"")</f>
        <v/>
      </c>
      <c r="C125" s="211">
        <f>IFERROR(VLOOKUP(A125,'Cadastro Geral Campistas'!$A:$R,9,0),"")</f>
        <v/>
      </c>
      <c r="D125" s="218">
        <f>IFERROR(VLOOKUP(A125,'Cadastro Geral Campistas'!$A:$R,17,0),"")</f>
        <v/>
      </c>
      <c r="E125" s="213" t="inlineStr"/>
      <c r="F125" s="211">
        <f>IFERROR(VLOOKUP(A125,'Cadastro Geral Campistas'!$A:$R,8,0),"")</f>
        <v/>
      </c>
      <c r="G125" s="209" t="inlineStr"/>
    </row>
    <row r="126" ht="20" customHeight="1" s="121">
      <c r="A126" s="205" t="n">
        <v>11</v>
      </c>
      <c r="B126" s="206">
        <f>IFERROR(VLOOKUP(A126,'Cadastro Geral Campistas'!$A:$R,2,0),"")</f>
        <v/>
      </c>
      <c r="C126" s="206">
        <f>IFERROR(VLOOKUP(A126,'Cadastro Geral Campistas'!$A:$R,9,0),"")</f>
        <v/>
      </c>
      <c r="D126" s="218">
        <f>IFERROR(VLOOKUP(A126,'Cadastro Geral Campistas'!$A:$R,17,0),"")</f>
        <v/>
      </c>
      <c r="E126" s="208" t="inlineStr"/>
      <c r="F126" s="206">
        <f>IFERROR(VLOOKUP(A126,'Cadastro Geral Campistas'!$A:$R,8,0),"")</f>
        <v/>
      </c>
      <c r="G126" s="209" t="inlineStr"/>
    </row>
    <row r="127" ht="20" customHeight="1" s="121">
      <c r="A127" s="210" t="n">
        <v>17</v>
      </c>
      <c r="B127" s="211">
        <f>IFERROR(VLOOKUP(A127,'Cadastro Geral Campistas'!$A:$R,2,0),"")</f>
        <v/>
      </c>
      <c r="C127" s="211">
        <f>IFERROR(VLOOKUP(A127,'Cadastro Geral Campistas'!$A:$R,9,0),"")</f>
        <v/>
      </c>
      <c r="D127" s="218">
        <f>IFERROR(VLOOKUP(A127,'Cadastro Geral Campistas'!$A:$R,17,0),"")</f>
        <v/>
      </c>
      <c r="E127" s="213" t="inlineStr"/>
      <c r="F127" s="211">
        <f>IFERROR(VLOOKUP(A127,'Cadastro Geral Campistas'!$A:$R,8,0),"")</f>
        <v/>
      </c>
      <c r="G127" s="209" t="inlineStr"/>
    </row>
    <row r="128" ht="20" customHeight="1" s="121">
      <c r="A128" s="205" t="n">
        <v>23</v>
      </c>
      <c r="B128" s="206">
        <f>IFERROR(VLOOKUP(A128,'Cadastro Geral Campistas'!$A:$R,2,0),"")</f>
        <v/>
      </c>
      <c r="C128" s="206">
        <f>IFERROR(VLOOKUP(A128,'Cadastro Geral Campistas'!$A:$R,9,0),"")</f>
        <v/>
      </c>
      <c r="D128" s="220">
        <f>IFERROR(VLOOKUP(A128,'Cadastro Geral Campistas'!$A:$R,17,0),"")</f>
        <v/>
      </c>
      <c r="E128" s="208" t="inlineStr"/>
      <c r="F128" s="206">
        <f>IFERROR(VLOOKUP(A128,'Cadastro Geral Campistas'!$A:$R,8,0),"")</f>
        <v/>
      </c>
      <c r="G128" s="209" t="inlineStr"/>
    </row>
    <row r="129" ht="20" customHeight="1" s="121">
      <c r="A129" s="210" t="n">
        <v>28</v>
      </c>
      <c r="B129" s="211">
        <f>IFERROR(VLOOKUP(A129,'Cadastro Geral Campistas'!$A:$R,2,0),"")</f>
        <v/>
      </c>
      <c r="C129" s="211">
        <f>IFERROR(VLOOKUP(A129,'Cadastro Geral Campistas'!$A:$R,9,0),"")</f>
        <v/>
      </c>
      <c r="D129" s="220">
        <f>IFERROR(VLOOKUP(A129,'Cadastro Geral Campistas'!$A:$R,17,0),"")</f>
        <v/>
      </c>
      <c r="E129" s="213" t="inlineStr"/>
      <c r="F129" s="211">
        <f>IFERROR(VLOOKUP(A129,'Cadastro Geral Campistas'!$A:$R,8,0),"")</f>
        <v/>
      </c>
      <c r="G129" s="209" t="inlineStr"/>
    </row>
    <row r="130" ht="20" customHeight="1" s="121">
      <c r="A130" s="205" t="n">
        <v>34</v>
      </c>
      <c r="B130" s="206">
        <f>IFERROR(VLOOKUP(A130,'Cadastro Geral Campistas'!$A:$R,2,0),"")</f>
        <v/>
      </c>
      <c r="C130" s="206">
        <f>IFERROR(VLOOKUP(A130,'Cadastro Geral Campistas'!$A:$R,9,0),"")</f>
        <v/>
      </c>
      <c r="D130" s="220">
        <f>IFERROR(VLOOKUP(A130,'Cadastro Geral Campistas'!$A:$R,17,0),"")</f>
        <v/>
      </c>
      <c r="E130" s="208" t="inlineStr"/>
      <c r="F130" s="206">
        <f>IFERROR(VLOOKUP(A130,'Cadastro Geral Campistas'!$A:$R,8,0),"")</f>
        <v/>
      </c>
      <c r="G130" s="209" t="inlineStr"/>
    </row>
    <row r="131" ht="20" customHeight="1" s="121">
      <c r="A131" s="210" t="n">
        <v>38</v>
      </c>
      <c r="B131" s="211">
        <f>IFERROR(VLOOKUP(A131,'Cadastro Geral Campistas'!$A:$R,2,0),"")</f>
        <v/>
      </c>
      <c r="C131" s="211">
        <f>IFERROR(VLOOKUP(A131,'Cadastro Geral Campistas'!$A:$R,9,0),"")</f>
        <v/>
      </c>
      <c r="D131" s="214">
        <f>IFERROR(VLOOKUP(A131,'Cadastro Geral Campistas'!$A:$R,17,0),"")</f>
        <v/>
      </c>
      <c r="E131" s="213" t="inlineStr"/>
      <c r="F131" s="211">
        <f>IFERROR(VLOOKUP(A131,'Cadastro Geral Campistas'!$A:$R,8,0),"")</f>
        <v/>
      </c>
      <c r="G131" s="209" t="inlineStr"/>
    </row>
    <row r="132" ht="20" customHeight="1" s="121">
      <c r="A132" s="205" t="n">
        <v>43</v>
      </c>
      <c r="B132" s="206">
        <f>IFERROR(VLOOKUP(A132,'Cadastro Geral Campistas'!$A:$R,2,0),"")</f>
        <v/>
      </c>
      <c r="C132" s="206">
        <f>IFERROR(VLOOKUP(A132,'Cadastro Geral Campistas'!$A:$R,9,0),"")</f>
        <v/>
      </c>
      <c r="D132" s="215">
        <f>IFERROR(VLOOKUP(A132,'Cadastro Geral Campistas'!$A:$R,17,0),"")</f>
        <v/>
      </c>
      <c r="E132" s="208" t="inlineStr"/>
      <c r="F132" s="206">
        <f>IFERROR(VLOOKUP(A132,'Cadastro Geral Campistas'!$A:$R,8,0),"")</f>
        <v/>
      </c>
      <c r="G132" s="209" t="inlineStr"/>
    </row>
    <row r="133" ht="20" customHeight="1" s="121">
      <c r="A133" s="210" t="n">
        <v>47</v>
      </c>
      <c r="B133" s="211">
        <f>IFERROR(VLOOKUP(A133,'Cadastro Geral Campistas'!$A:$R,2,0),"")</f>
        <v/>
      </c>
      <c r="C133" s="211">
        <f>IFERROR(VLOOKUP(A133,'Cadastro Geral Campistas'!$A:$R,9,0),"")</f>
        <v/>
      </c>
      <c r="D133" s="214">
        <f>IFERROR(VLOOKUP(A133,'Cadastro Geral Campistas'!$A:$R,17,0),"")</f>
        <v/>
      </c>
      <c r="E133" s="213" t="inlineStr"/>
      <c r="F133" s="211">
        <f>IFERROR(VLOOKUP(A133,'Cadastro Geral Campistas'!$A:$R,8,0),"")</f>
        <v/>
      </c>
      <c r="G133" s="209" t="inlineStr"/>
    </row>
    <row r="134" ht="20" customHeight="1" s="121">
      <c r="A134" s="205" t="n">
        <v>51</v>
      </c>
      <c r="B134" s="206">
        <f>IFERROR(VLOOKUP(A134,'Cadastro Geral Campistas'!$A:$R,2,0),"")</f>
        <v/>
      </c>
      <c r="C134" s="206">
        <f>IFERROR(VLOOKUP(A134,'Cadastro Geral Campistas'!$A:$R,9,0),"")</f>
        <v/>
      </c>
      <c r="D134" s="207">
        <f>IFERROR(VLOOKUP(A134,'Cadastro Geral Campistas'!$A:$R,17,0),"")</f>
        <v/>
      </c>
      <c r="E134" s="208" t="inlineStr"/>
      <c r="F134" s="206">
        <f>IFERROR(VLOOKUP(A134,'Cadastro Geral Campistas'!$A:$R,8,0),"")</f>
        <v/>
      </c>
      <c r="G134" s="209" t="inlineStr"/>
    </row>
    <row r="135" ht="20" customHeight="1" s="121">
      <c r="A135" s="210" t="n">
        <v>55</v>
      </c>
      <c r="B135" s="211">
        <f>IFERROR(VLOOKUP(A135,'Cadastro Geral Campistas'!$A:$R,2,0),"")</f>
        <v/>
      </c>
      <c r="C135" s="211">
        <f>IFERROR(VLOOKUP(A135,'Cadastro Geral Campistas'!$A:$R,9,0),"")</f>
        <v/>
      </c>
      <c r="D135" s="253">
        <f>IFERROR(VLOOKUP(A135,'Cadastro Geral Campistas'!$A:$R,17,0),"")</f>
        <v/>
      </c>
      <c r="E135" s="213" t="inlineStr"/>
      <c r="F135" s="211">
        <f>IFERROR(VLOOKUP(A135,'Cadastro Geral Campistas'!$A:$R,8,0),"")</f>
        <v/>
      </c>
      <c r="G135" s="209" t="inlineStr"/>
    </row>
    <row r="136" ht="20" customHeight="1" s="121">
      <c r="A136" s="205" t="n">
        <v>59</v>
      </c>
      <c r="B136" s="206">
        <f>IFERROR(VLOOKUP(A136,'Cadastro Geral Campistas'!$A:$R,2,0),"")</f>
        <v/>
      </c>
      <c r="C136" s="206">
        <f>IFERROR(VLOOKUP(A136,'Cadastro Geral Campistas'!$A:$R,9,0),"")</f>
        <v/>
      </c>
      <c r="D136" s="218">
        <f>IFERROR(VLOOKUP(A136,'Cadastro Geral Campistas'!$A:$R,17,0),"")</f>
        <v/>
      </c>
      <c r="E136" s="208" t="inlineStr"/>
      <c r="F136" s="206">
        <f>IFERROR(VLOOKUP(A136,'Cadastro Geral Campistas'!$A:$R,8,0),"")</f>
        <v/>
      </c>
      <c r="G136" s="209" t="inlineStr"/>
    </row>
    <row r="137" ht="20" customHeight="1" s="121">
      <c r="A137" s="210" t="n">
        <v>63</v>
      </c>
      <c r="B137" s="211">
        <f>IFERROR(VLOOKUP(A137,'Cadastro Geral Campistas'!$A:$R,2,0),"")</f>
        <v/>
      </c>
      <c r="C137" s="211">
        <f>IFERROR(VLOOKUP(A137,'Cadastro Geral Campistas'!$A:$R,9,0),"")</f>
        <v/>
      </c>
      <c r="D137" s="255">
        <f>IFERROR(VLOOKUP(A137,'Cadastro Geral Campistas'!$A:$R,17,0),"")</f>
        <v/>
      </c>
      <c r="E137" s="213" t="inlineStr"/>
      <c r="F137" s="211">
        <f>IFERROR(VLOOKUP(A137,'Cadastro Geral Campistas'!$A:$R,8,0),"")</f>
        <v/>
      </c>
      <c r="G137" s="209" t="inlineStr"/>
    </row>
    <row r="138" ht="20" customHeight="1" s="121">
      <c r="A138" s="205" t="n">
        <v>67</v>
      </c>
      <c r="B138" s="206">
        <f>IFERROR(VLOOKUP(A138,'Cadastro Geral Campistas'!$A:$R,2,0),"")</f>
        <v/>
      </c>
      <c r="C138" s="206">
        <f>IFERROR(VLOOKUP(A138,'Cadastro Geral Campistas'!$A:$R,9,0),"")</f>
        <v/>
      </c>
      <c r="D138" s="249">
        <f>IFERROR(VLOOKUP(A138,'Cadastro Geral Campistas'!$A:$R,17,0),"")</f>
        <v/>
      </c>
      <c r="E138" s="208" t="inlineStr"/>
      <c r="F138" s="206">
        <f>IFERROR(VLOOKUP(A138,'Cadastro Geral Campistas'!$A:$R,8,0),"")</f>
        <v/>
      </c>
      <c r="G138" s="209" t="inlineStr"/>
    </row>
    <row r="139" ht="20" customHeight="1" s="121">
      <c r="A139" s="210" t="n">
        <v>72</v>
      </c>
      <c r="B139" s="211">
        <f>IFERROR(VLOOKUP(A139,'Cadastro Geral Campistas'!$A:$R,2,0),"")</f>
        <v/>
      </c>
      <c r="C139" s="211">
        <f>IFERROR(VLOOKUP(A139,'Cadastro Geral Campistas'!$A:$R,9,0),"")</f>
        <v/>
      </c>
      <c r="D139" s="253">
        <f>IFERROR(VLOOKUP(A139,'Cadastro Geral Campistas'!$A:$R,17,0),"")</f>
        <v/>
      </c>
      <c r="E139" s="213" t="inlineStr"/>
      <c r="F139" s="211">
        <f>IFERROR(VLOOKUP(A139,'Cadastro Geral Campistas'!$A:$R,8,0),"")</f>
        <v/>
      </c>
      <c r="G139" s="209" t="inlineStr"/>
    </row>
    <row r="140" ht="20" customHeight="1" s="121">
      <c r="A140" s="205" t="n">
        <v>76</v>
      </c>
      <c r="B140" s="206">
        <f>IFERROR(VLOOKUP(A140,'Cadastro Geral Campistas'!$A:$R,2,0),"")</f>
        <v/>
      </c>
      <c r="C140" s="206">
        <f>IFERROR(VLOOKUP(A140,'Cadastro Geral Campistas'!$A:$R,9,0),"")</f>
        <v/>
      </c>
      <c r="D140" s="215">
        <f>IFERROR(VLOOKUP(A140,'Cadastro Geral Campistas'!$A:$R,17,0),"")</f>
        <v/>
      </c>
      <c r="E140" s="208" t="inlineStr"/>
      <c r="F140" s="206">
        <f>IFERROR(VLOOKUP(A140,'Cadastro Geral Campistas'!$A:$R,8,0),"")</f>
        <v/>
      </c>
      <c r="G140" s="209" t="inlineStr"/>
    </row>
    <row r="141" ht="20" customHeight="1" s="121">
      <c r="A141" s="210" t="n">
        <v>80</v>
      </c>
      <c r="B141" s="211">
        <f>IFERROR(VLOOKUP(A141,'Cadastro Geral Campistas'!$A:$R,2,0),"")</f>
        <v/>
      </c>
      <c r="C141" s="211">
        <f>IFERROR(VLOOKUP(A141,'Cadastro Geral Campistas'!$A:$R,9,0),"")</f>
        <v/>
      </c>
      <c r="D141" s="215">
        <f>IFERROR(VLOOKUP(A141,'Cadastro Geral Campistas'!$A:$R,17,0),"")</f>
        <v/>
      </c>
      <c r="E141" s="213" t="inlineStr"/>
      <c r="F141" s="211">
        <f>IFERROR(VLOOKUP(A141,'Cadastro Geral Campistas'!$A:$R,8,0),"")</f>
        <v/>
      </c>
      <c r="G141" s="209" t="inlineStr"/>
    </row>
    <row r="142" ht="20" customHeight="1" s="121">
      <c r="A142" s="205" t="n">
        <v>85</v>
      </c>
      <c r="B142" s="206">
        <f>IFERROR(VLOOKUP(A142,'Cadastro Geral Campistas'!$A:$R,2,0),"")</f>
        <v/>
      </c>
      <c r="C142" s="206">
        <f>IFERROR(VLOOKUP(A142,'Cadastro Geral Campistas'!$A:$R,9,0),"")</f>
        <v/>
      </c>
      <c r="D142" s="253">
        <f>IFERROR(VLOOKUP(A142,'Cadastro Geral Campistas'!$A:$R,17,0),"")</f>
        <v/>
      </c>
      <c r="E142" s="208" t="inlineStr"/>
      <c r="F142" s="206">
        <f>IFERROR(VLOOKUP(A142,'Cadastro Geral Campistas'!$A:$R,8,0),"")</f>
        <v/>
      </c>
      <c r="G142" s="209" t="inlineStr"/>
    </row>
    <row r="143" ht="20" customHeight="1" s="121">
      <c r="A143" s="210" t="n">
        <v>89</v>
      </c>
      <c r="B143" s="211">
        <f>IFERROR(VLOOKUP(A143,'Cadastro Geral Campistas'!$A:$R,2,0),"")</f>
        <v/>
      </c>
      <c r="C143" s="211">
        <f>IFERROR(VLOOKUP(A143,'Cadastro Geral Campistas'!$A:$R,9,0),"")</f>
        <v/>
      </c>
      <c r="D143" s="249">
        <f>IFERROR(VLOOKUP(A143,'Cadastro Geral Campistas'!$A:$R,17,0),"")</f>
        <v/>
      </c>
      <c r="E143" s="213" t="inlineStr"/>
      <c r="F143" s="211">
        <f>IFERROR(VLOOKUP(A143,'Cadastro Geral Campistas'!$A:$R,8,0),"")</f>
        <v/>
      </c>
      <c r="G143" s="209" t="inlineStr"/>
    </row>
    <row r="144" ht="20" customHeight="1" s="121">
      <c r="A144" s="205" t="n">
        <v>96</v>
      </c>
      <c r="B144" s="206">
        <f>IFERROR(VLOOKUP(A144,'Cadastro Geral Campistas'!$A:$R,2,0),"")</f>
        <v/>
      </c>
      <c r="C144" s="206">
        <f>IFERROR(VLOOKUP(A144,'Cadastro Geral Campistas'!$A:$R,9,0),"")</f>
        <v/>
      </c>
      <c r="D144" s="256">
        <f>IFERROR(VLOOKUP(A144,'Cadastro Geral Campistas'!$A:$R,17,0),"")</f>
        <v/>
      </c>
      <c r="E144" s="208" t="inlineStr"/>
      <c r="F144" s="206">
        <f>IFERROR(VLOOKUP(A144,'Cadastro Geral Campistas'!$A:$R,8,0),"")</f>
        <v/>
      </c>
      <c r="G144" s="209" t="inlineStr"/>
    </row>
    <row r="145" ht="20" customHeight="1" s="121">
      <c r="A145" s="210" t="n">
        <v>101</v>
      </c>
      <c r="B145" s="211">
        <f>IFERROR(VLOOKUP(A145,'Cadastro Geral Campistas'!$A:$R,2,0),"")</f>
        <v/>
      </c>
      <c r="C145" s="211">
        <f>IFERROR(VLOOKUP(A145,'Cadastro Geral Campistas'!$A:$R,9,0),"")</f>
        <v/>
      </c>
      <c r="D145" s="255">
        <f>IFERROR(VLOOKUP(A145,'Cadastro Geral Campistas'!$A:$R,17,0),"")</f>
        <v/>
      </c>
      <c r="E145" s="213" t="inlineStr"/>
      <c r="F145" s="211">
        <f>IFERROR(VLOOKUP(A145,'Cadastro Geral Campistas'!$A:$R,8,0),"")</f>
        <v/>
      </c>
      <c r="G145" s="209" t="inlineStr"/>
    </row>
    <row r="146" ht="20" customHeight="1" s="121">
      <c r="A146" s="205" t="n">
        <v>106</v>
      </c>
      <c r="B146" s="206">
        <f>IFERROR(VLOOKUP(A146,'Cadastro Geral Campistas'!$A:$R,2,0),"")</f>
        <v/>
      </c>
      <c r="C146" s="206">
        <f>IFERROR(VLOOKUP(A146,'Cadastro Geral Campistas'!$A:$R,9,0),"")</f>
        <v/>
      </c>
      <c r="D146" s="255">
        <f>IFERROR(VLOOKUP(A146,'Cadastro Geral Campistas'!$A:$R,17,0),"")</f>
        <v/>
      </c>
      <c r="E146" s="208" t="inlineStr"/>
      <c r="F146" s="206">
        <f>IFERROR(VLOOKUP(A146,'Cadastro Geral Campistas'!$A:$R,8,0),"")</f>
        <v/>
      </c>
      <c r="G146" s="209" t="inlineStr"/>
    </row>
    <row r="147" ht="20" customHeight="1" s="121">
      <c r="A147" s="210" t="n">
        <v>110</v>
      </c>
      <c r="B147" s="211">
        <f>IFERROR(VLOOKUP(A147,'Cadastro Geral Campistas'!$A:$R,2,0),"")</f>
        <v/>
      </c>
      <c r="C147" s="211">
        <f>IFERROR(VLOOKUP(A147,'Cadastro Geral Campistas'!$A:$R,9,0),"")</f>
        <v/>
      </c>
      <c r="D147" s="256">
        <f>IFERROR(VLOOKUP(A147,'Cadastro Geral Campistas'!$A:$R,17,0),"")</f>
        <v/>
      </c>
      <c r="E147" s="213" t="inlineStr"/>
      <c r="F147" s="211">
        <f>IFERROR(VLOOKUP(A147,'Cadastro Geral Campistas'!$A:$R,8,0),"")</f>
        <v/>
      </c>
      <c r="G147" s="209" t="inlineStr"/>
    </row>
    <row r="148" ht="20" customHeight="1" s="121">
      <c r="A148" s="205" t="n">
        <v>114</v>
      </c>
      <c r="B148" s="206">
        <f>IFERROR(VLOOKUP(A148,'Cadastro Geral Campistas'!$A:$R,2,0),"")</f>
        <v/>
      </c>
      <c r="C148" s="206">
        <f>IFERROR(VLOOKUP(A148,'Cadastro Geral Campistas'!$A:$R,9,0),"")</f>
        <v/>
      </c>
      <c r="D148" s="218">
        <f>IFERROR(VLOOKUP(A148,'Cadastro Geral Campistas'!$A:$R,17,0),"")</f>
        <v/>
      </c>
      <c r="E148" s="208" t="inlineStr"/>
      <c r="F148" s="206">
        <f>IFERROR(VLOOKUP(A148,'Cadastro Geral Campistas'!$A:$R,8,0),"")</f>
        <v/>
      </c>
      <c r="G148" s="209" t="inlineStr"/>
    </row>
    <row r="149" ht="20" customHeight="1" s="121">
      <c r="A149" s="210" t="n">
        <v>118</v>
      </c>
      <c r="B149" s="211">
        <f>IFERROR(VLOOKUP(A149,'Cadastro Geral Campistas'!$A:$R,2,0),"")</f>
        <v/>
      </c>
      <c r="C149" s="211">
        <f>IFERROR(VLOOKUP(A149,'Cadastro Geral Campistas'!$A:$R,9,0),"")</f>
        <v/>
      </c>
      <c r="D149" s="214">
        <f>IFERROR(VLOOKUP(A149,'Cadastro Geral Campistas'!$A:$R,17,0),"")</f>
        <v/>
      </c>
      <c r="E149" s="213" t="inlineStr"/>
      <c r="F149" s="211">
        <f>IFERROR(VLOOKUP(A149,'Cadastro Geral Campistas'!$A:$R,8,0),"")</f>
        <v/>
      </c>
      <c r="G149" s="209" t="inlineStr"/>
    </row>
    <row r="150" ht="20" customHeight="1" s="121">
      <c r="A150" s="205" t="n">
        <v>123</v>
      </c>
      <c r="B150" s="206">
        <f>IFERROR(VLOOKUP(A150,'Cadastro Geral Campistas'!$A:$R,2,0),"")</f>
        <v/>
      </c>
      <c r="C150" s="206">
        <f>IFERROR(VLOOKUP(A150,'Cadastro Geral Campistas'!$A:$R,9,0),"")</f>
        <v/>
      </c>
      <c r="D150" s="207">
        <f>IFERROR(VLOOKUP(A150,'Cadastro Geral Campistas'!$A:$R,17,0),"")</f>
        <v/>
      </c>
      <c r="E150" s="208" t="inlineStr"/>
      <c r="F150" s="206">
        <f>IFERROR(VLOOKUP(A150,'Cadastro Geral Campistas'!$A:$R,8,0),"")</f>
        <v/>
      </c>
      <c r="G150" s="209" t="inlineStr"/>
    </row>
    <row r="151" ht="20" customHeight="1" s="121">
      <c r="A151" s="210" t="n">
        <v>127</v>
      </c>
      <c r="B151" s="211">
        <f>IFERROR(VLOOKUP(A151,'Cadastro Geral Campistas'!$A:$R,2,0),"")</f>
        <v/>
      </c>
      <c r="C151" s="211">
        <f>IFERROR(VLOOKUP(A151,'Cadastro Geral Campistas'!$A:$R,9,0),"")</f>
        <v/>
      </c>
      <c r="D151" s="220">
        <f>IFERROR(VLOOKUP(A151,'Cadastro Geral Campistas'!$A:$R,17,0),"")</f>
        <v/>
      </c>
      <c r="E151" s="213" t="inlineStr"/>
      <c r="F151" s="211">
        <f>IFERROR(VLOOKUP(A151,'Cadastro Geral Campistas'!$A:$R,8,0),"")</f>
        <v/>
      </c>
      <c r="G151" s="209" t="inlineStr"/>
    </row>
    <row r="152" ht="20" customHeight="1" s="121">
      <c r="A152" s="205" t="n">
        <v>131</v>
      </c>
      <c r="B152" s="206">
        <f>IFERROR(VLOOKUP(A152,'Cadastro Geral Campistas'!$A:$R,2,0),"")</f>
        <v/>
      </c>
      <c r="C152" s="206">
        <f>IFERROR(VLOOKUP(A152,'Cadastro Geral Campistas'!$A:$R,9,0),"")</f>
        <v/>
      </c>
      <c r="D152" s="207">
        <f>IFERROR(VLOOKUP(A152,'Cadastro Geral Campistas'!$A:$R,17,0),"")</f>
        <v/>
      </c>
      <c r="E152" s="208" t="inlineStr"/>
      <c r="F152" s="206">
        <f>IFERROR(VLOOKUP(A152,'Cadastro Geral Campistas'!$A:$R,8,0),"")</f>
        <v/>
      </c>
      <c r="G152" s="209" t="inlineStr"/>
    </row>
    <row r="153" ht="20" customHeight="1" s="121">
      <c r="A153" s="210" t="n">
        <v>135</v>
      </c>
      <c r="B153" s="211">
        <f>IFERROR(VLOOKUP(A153,'Cadastro Geral Campistas'!$A:$R,2,0),"")</f>
        <v/>
      </c>
      <c r="C153" s="211">
        <f>IFERROR(VLOOKUP(A153,'Cadastro Geral Campistas'!$A:$R,9,0),"")</f>
        <v/>
      </c>
      <c r="D153" s="249">
        <f>IFERROR(VLOOKUP(A153,'Cadastro Geral Campistas'!$A:$R,17,0),"")</f>
        <v/>
      </c>
      <c r="E153" s="213" t="inlineStr"/>
      <c r="F153" s="211">
        <f>IFERROR(VLOOKUP(A153,'Cadastro Geral Campistas'!$A:$R,8,0),"")</f>
        <v/>
      </c>
      <c r="G153" s="209" t="inlineStr"/>
    </row>
    <row r="154" ht="20" customHeight="1" s="121">
      <c r="A154" s="205" t="n">
        <v>140</v>
      </c>
      <c r="B154" s="206">
        <f>IFERROR(VLOOKUP(A154,'Cadastro Geral Campistas'!$A:$R,2,0),"")</f>
        <v/>
      </c>
      <c r="C154" s="206">
        <f>IFERROR(VLOOKUP(A154,'Cadastro Geral Campistas'!$A:$R,9,0),"")</f>
        <v/>
      </c>
      <c r="D154" s="255">
        <f>IFERROR(VLOOKUP(A154,'Cadastro Geral Campistas'!$A:$R,17,0),"")</f>
        <v/>
      </c>
      <c r="E154" s="208" t="inlineStr"/>
      <c r="F154" s="206">
        <f>IFERROR(VLOOKUP(A154,'Cadastro Geral Campistas'!$A:$R,8,0),"")</f>
        <v/>
      </c>
      <c r="G154" s="209" t="inlineStr"/>
    </row>
  </sheetData>
  <mergeCells count="4">
    <mergeCell ref="A79:G79"/>
    <mergeCell ref="A1:G1"/>
    <mergeCell ref="A40:G40"/>
    <mergeCell ref="A118:G118"/>
  </mergeCells>
  <conditionalFormatting sqref="D3:D38">
    <cfRule type="expression" priority="1" dxfId="37" stopIfTrue="0">
      <formula>D3="Simeão"</formula>
    </cfRule>
    <cfRule type="expression" priority="2" dxfId="38" stopIfTrue="0">
      <formula>D3="Rubem"</formula>
    </cfRule>
    <cfRule type="expression" priority="3" dxfId="39" stopIfTrue="0">
      <formula>D3="Judá"</formula>
    </cfRule>
    <cfRule type="expression" priority="4" dxfId="40" stopIfTrue="0">
      <formula>D3="Levi"</formula>
    </cfRule>
    <cfRule type="expression" priority="5" dxfId="41" stopIfTrue="0">
      <formula>D3="Benjamim"</formula>
    </cfRule>
    <cfRule type="expression" priority="6" dxfId="42" stopIfTrue="0">
      <formula>D3="Issacar"</formula>
    </cfRule>
    <cfRule type="expression" priority="7" dxfId="43" stopIfTrue="0">
      <formula>D3="Gad"</formula>
    </cfRule>
    <cfRule type="expression" priority="8" dxfId="44" stopIfTrue="0">
      <formula>D3="Zabulom"</formula>
    </cfRule>
    <cfRule type="expression" priority="9" dxfId="45" stopIfTrue="0">
      <formula>D3="EFRAIM"</formula>
    </cfRule>
  </conditionalFormatting>
  <conditionalFormatting sqref="D42:D77">
    <cfRule type="expression" priority="10" dxfId="37" stopIfTrue="0">
      <formula>D42="Simeão"</formula>
    </cfRule>
    <cfRule type="expression" priority="11" dxfId="38" stopIfTrue="0">
      <formula>D42="Rubem"</formula>
    </cfRule>
    <cfRule type="expression" priority="12" dxfId="39" stopIfTrue="0">
      <formula>D42="Judá"</formula>
    </cfRule>
    <cfRule type="expression" priority="13" dxfId="40" stopIfTrue="0">
      <formula>D42="Levi"</formula>
    </cfRule>
    <cfRule type="expression" priority="14" dxfId="41" stopIfTrue="0">
      <formula>D42="Benjamim"</formula>
    </cfRule>
    <cfRule type="expression" priority="15" dxfId="42" stopIfTrue="0">
      <formula>D42="Issacar"</formula>
    </cfRule>
    <cfRule type="expression" priority="16" dxfId="43" stopIfTrue="0">
      <formula>D42="Gad"</formula>
    </cfRule>
    <cfRule type="expression" priority="17" dxfId="44" stopIfTrue="0">
      <formula>D42="Zabulom"</formula>
    </cfRule>
    <cfRule type="expression" priority="18" dxfId="45" stopIfTrue="0">
      <formula>D42="EFRAIM"</formula>
    </cfRule>
  </conditionalFormatting>
  <conditionalFormatting sqref="D81:D116">
    <cfRule type="expression" priority="19" dxfId="37" stopIfTrue="0">
      <formula>D81="Simeão"</formula>
    </cfRule>
    <cfRule type="expression" priority="20" dxfId="38" stopIfTrue="0">
      <formula>D81="Rubem"</formula>
    </cfRule>
    <cfRule type="expression" priority="21" dxfId="39" stopIfTrue="0">
      <formula>D81="Judá"</formula>
    </cfRule>
    <cfRule type="expression" priority="22" dxfId="40" stopIfTrue="0">
      <formula>D81="Levi"</formula>
    </cfRule>
    <cfRule type="expression" priority="23" dxfId="41" stopIfTrue="0">
      <formula>D81="Benjamim"</formula>
    </cfRule>
    <cfRule type="expression" priority="24" dxfId="42" stopIfTrue="0">
      <formula>D81="Issacar"</formula>
    </cfRule>
    <cfRule type="expression" priority="25" dxfId="43" stopIfTrue="0">
      <formula>D81="Gad"</formula>
    </cfRule>
    <cfRule type="expression" priority="26" dxfId="44" stopIfTrue="0">
      <formula>D81="Zabulom"</formula>
    </cfRule>
    <cfRule type="expression" priority="27" dxfId="45" stopIfTrue="0">
      <formula>D81="EFRAIM"</formula>
    </cfRule>
  </conditionalFormatting>
  <conditionalFormatting sqref="D120:D154">
    <cfRule type="expression" priority="28" dxfId="37" stopIfTrue="0">
      <formula>D120="Simeão"</formula>
    </cfRule>
    <cfRule type="expression" priority="29" dxfId="38" stopIfTrue="0">
      <formula>D120="Rubem"</formula>
    </cfRule>
    <cfRule type="expression" priority="30" dxfId="39" stopIfTrue="0">
      <formula>D120="Judá"</formula>
    </cfRule>
    <cfRule type="expression" priority="31" dxfId="40" stopIfTrue="0">
      <formula>D120="Levi"</formula>
    </cfRule>
    <cfRule type="expression" priority="32" dxfId="41" stopIfTrue="0">
      <formula>D120="Benjamim"</formula>
    </cfRule>
    <cfRule type="expression" priority="33" dxfId="42" stopIfTrue="0">
      <formula>D120="Issacar"</formula>
    </cfRule>
    <cfRule type="expression" priority="34" dxfId="43" stopIfTrue="0">
      <formula>D120="Gad"</formula>
    </cfRule>
    <cfRule type="expression" priority="35" dxfId="44" stopIfTrue="0">
      <formula>D120="Zabulom"</formula>
    </cfRule>
    <cfRule type="expression" priority="36" dxfId="45" stopIfTrue="0">
      <formula>D120="EFRAIM"</formula>
    </cfRule>
  </conditionalFormatting>
  <pageMargins left="0.5" right="0.5" top="0.6" bottom="0.6" header="0.3" footer="0.3"/>
  <pageSetup orientation="portrait" paperSize="9" fitToHeight="0" fitToWidth="1"/>
  <headerFooter>
    <oddHeader>&amp;C&amp;"Arial,Bold"&amp;11 VIII Acampamento Espírito Empreendedor — Lista Ônibus</oddHeader>
    <oddFooter>&amp;CPágina &amp;P de &amp;N</oddFooter>
    <evenHeader/>
    <evenFooter/>
    <firstHeader/>
    <firstFooter/>
  </headerFooter>
  <rowBreaks count="3" manualBreakCount="3">
    <brk id="39" min="0" max="16383" man="1"/>
    <brk id="78" min="0" max="16383" man="1"/>
    <brk id="11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6"/>
  <sheetViews>
    <sheetView workbookViewId="0">
      <selection activeCell="A1" sqref="A1"/>
    </sheetView>
  </sheetViews>
  <sheetFormatPr baseColWidth="8" defaultRowHeight="15"/>
  <cols>
    <col width="5.5" customWidth="1" style="121" min="1" max="1"/>
    <col width="30" customWidth="1" style="121" min="2" max="2"/>
    <col width="15" customWidth="1" style="121" min="3" max="3"/>
    <col width="13" customWidth="1" style="121" min="4" max="4"/>
    <col width="5" customWidth="1" style="121" min="5" max="5"/>
    <col width="19" customWidth="1" style="121" min="6" max="6"/>
    <col width="10" customWidth="1" style="121" min="7" max="7"/>
    <col width="11" customWidth="1" style="121" min="8" max="8"/>
  </cols>
  <sheetData>
    <row r="1" ht="32" customHeight="1" s="121">
      <c r="A1" s="203" t="inlineStr">
        <is>
          <t>LISTA PRAÇA — CHECK-IN | VIII Acampamento Espírito Empreendedor</t>
        </is>
      </c>
    </row>
    <row r="2" ht="24" customHeight="1" s="121">
      <c r="A2" s="204" t="inlineStr">
        <is>
          <t>FC ✏️</t>
        </is>
      </c>
      <c r="B2" s="204" t="inlineStr">
        <is>
          <t>CAMPISTAS</t>
        </is>
      </c>
      <c r="C2" s="204" t="inlineStr">
        <is>
          <t>CIDADE</t>
        </is>
      </c>
      <c r="D2" s="204" t="inlineStr">
        <is>
          <t>TRIBO</t>
        </is>
      </c>
      <c r="E2" s="204" t="inlineStr">
        <is>
          <t>FONE:</t>
        </is>
      </c>
      <c r="F2" s="204" t="inlineStr">
        <is>
          <t>CELULAR</t>
        </is>
      </c>
      <c r="G2" s="204" t="inlineStr">
        <is>
          <t>CHECK-IN ✅</t>
        </is>
      </c>
      <c r="H2" s="204" t="inlineStr">
        <is>
          <t>TERMO IMG ✅</t>
        </is>
      </c>
    </row>
    <row r="3" ht="22" customHeight="1" s="121">
      <c r="A3" s="224" t="n">
        <v>1</v>
      </c>
      <c r="B3" s="257">
        <f>IFERROR(VLOOKUP(A3,'Cadastro Geral Campistas'!$A:$R,2,0),"")</f>
        <v/>
      </c>
      <c r="C3" s="257">
        <f>IFERROR(VLOOKUP(A3,'Cadastro Geral Campistas'!$A:$R,9,0),"")</f>
        <v/>
      </c>
      <c r="D3" s="226">
        <f>IFERROR(VLOOKUP(A3,'Cadastro Geral Campistas'!$A:$R,17,0),"")</f>
        <v/>
      </c>
      <c r="E3" s="208" t="inlineStr"/>
      <c r="F3" s="257">
        <f>IFERROR(VLOOKUP(A3,'Cadastro Geral Campistas'!$A:$R,8,0),"")</f>
        <v/>
      </c>
      <c r="G3" s="209" t="inlineStr"/>
      <c r="H3" s="209" t="inlineStr"/>
    </row>
    <row r="4" ht="22" customHeight="1" s="121">
      <c r="A4" s="228" t="n">
        <v>68</v>
      </c>
      <c r="B4" s="258">
        <f>IFERROR(VLOOKUP(A4,'Cadastro Geral Campistas'!$A:$R,2,0),"")</f>
        <v/>
      </c>
      <c r="C4" s="258">
        <f>IFERROR(VLOOKUP(A4,'Cadastro Geral Campistas'!$A:$R,9,0),"")</f>
        <v/>
      </c>
      <c r="D4" s="251">
        <f>IFERROR(VLOOKUP(A4,'Cadastro Geral Campistas'!$A:$R,17,0),"")</f>
        <v/>
      </c>
      <c r="E4" s="213" t="inlineStr"/>
      <c r="F4" s="258">
        <f>IFERROR(VLOOKUP(A4,'Cadastro Geral Campistas'!$A:$R,8,0),"")</f>
        <v/>
      </c>
      <c r="G4" s="209" t="inlineStr"/>
      <c r="H4" s="209" t="inlineStr"/>
    </row>
    <row r="5" ht="22" customHeight="1" s="121">
      <c r="A5" s="224" t="n">
        <v>141</v>
      </c>
      <c r="B5" s="257">
        <f>IFERROR(VLOOKUP(A5,'Cadastro Geral Campistas'!$A:$R,2,0),"")</f>
        <v/>
      </c>
      <c r="C5" s="257">
        <f>IFERROR(VLOOKUP(A5,'Cadastro Geral Campistas'!$A:$R,9,0),"")</f>
        <v/>
      </c>
      <c r="D5" s="231">
        <f>IFERROR(VLOOKUP(A5,'Cadastro Geral Campistas'!$A:$R,17,0),"")</f>
        <v/>
      </c>
      <c r="E5" s="208" t="inlineStr"/>
      <c r="F5" s="257">
        <f>IFERROR(VLOOKUP(A5,'Cadastro Geral Campistas'!$A:$R,8,0),"")</f>
        <v/>
      </c>
      <c r="G5" s="209" t="inlineStr"/>
      <c r="H5" s="209" t="inlineStr"/>
    </row>
    <row r="6" ht="22" customHeight="1" s="121">
      <c r="A6" s="228" t="n">
        <v>2</v>
      </c>
      <c r="B6" s="258">
        <f>IFERROR(VLOOKUP(A6,'Cadastro Geral Campistas'!$A:$R,2,0),"")</f>
        <v/>
      </c>
      <c r="C6" s="258">
        <f>IFERROR(VLOOKUP(A6,'Cadastro Geral Campistas'!$A:$R,9,0),"")</f>
        <v/>
      </c>
      <c r="D6" s="232">
        <f>IFERROR(VLOOKUP(A6,'Cadastro Geral Campistas'!$A:$R,17,0),"")</f>
        <v/>
      </c>
      <c r="E6" s="213" t="inlineStr"/>
      <c r="F6" s="258">
        <f>IFERROR(VLOOKUP(A6,'Cadastro Geral Campistas'!$A:$R,8,0),"")</f>
        <v/>
      </c>
      <c r="G6" s="209" t="inlineStr"/>
      <c r="H6" s="209" t="inlineStr"/>
    </row>
    <row r="7" ht="22" customHeight="1" s="121">
      <c r="A7" s="259" t="n">
        <v>3</v>
      </c>
      <c r="B7" s="260">
        <f>IFERROR(VLOOKUP(A7,'Cadastro Geral Campistas'!$A:$R,2,0),"")</f>
        <v/>
      </c>
      <c r="C7" s="260">
        <f>IFERROR(VLOOKUP(A7,'Cadastro Geral Campistas'!$A:$R,9,0),"")</f>
        <v/>
      </c>
      <c r="D7" s="261">
        <f>IFERROR(VLOOKUP(A7,'Cadastro Geral Campistas'!$A:$R,17,0),"")</f>
        <v/>
      </c>
      <c r="E7" s="254" t="inlineStr"/>
      <c r="F7" s="260">
        <f>IFERROR(VLOOKUP(A7,'Cadastro Geral Campistas'!$A:$R,8,0),"")</f>
        <v/>
      </c>
      <c r="G7" s="209" t="inlineStr"/>
      <c r="H7" s="209" t="inlineStr"/>
    </row>
    <row r="8" ht="22" customHeight="1" s="121">
      <c r="A8" s="228" t="n">
        <v>4</v>
      </c>
      <c r="B8" s="258">
        <f>IFERROR(VLOOKUP(A8,'Cadastro Geral Campistas'!$A:$R,2,0),"")</f>
        <v/>
      </c>
      <c r="C8" s="258">
        <f>IFERROR(VLOOKUP(A8,'Cadastro Geral Campistas'!$A:$R,9,0),"")</f>
        <v/>
      </c>
      <c r="D8" s="262">
        <f>IFERROR(VLOOKUP(A8,'Cadastro Geral Campistas'!$A:$R,17,0),"")</f>
        <v/>
      </c>
      <c r="E8" s="213" t="inlineStr"/>
      <c r="F8" s="258">
        <f>IFERROR(VLOOKUP(A8,'Cadastro Geral Campistas'!$A:$R,8,0),"")</f>
        <v/>
      </c>
      <c r="G8" s="209" t="inlineStr"/>
      <c r="H8" s="209" t="inlineStr"/>
    </row>
    <row r="9" ht="22" customHeight="1" s="121">
      <c r="A9" s="224" t="n">
        <v>5</v>
      </c>
      <c r="B9" s="257">
        <f>IFERROR(VLOOKUP(A9,'Cadastro Geral Campistas'!$A:$R,2,0),"")</f>
        <v/>
      </c>
      <c r="C9" s="257">
        <f>IFERROR(VLOOKUP(A9,'Cadastro Geral Campistas'!$A:$R,9,0),"")</f>
        <v/>
      </c>
      <c r="D9" s="235">
        <f>IFERROR(VLOOKUP(A9,'Cadastro Geral Campistas'!$A:$R,17,0),"")</f>
        <v/>
      </c>
      <c r="E9" s="208" t="inlineStr"/>
      <c r="F9" s="257">
        <f>IFERROR(VLOOKUP(A9,'Cadastro Geral Campistas'!$A:$R,8,0),"")</f>
        <v/>
      </c>
      <c r="G9" s="209" t="inlineStr"/>
      <c r="H9" s="209" t="inlineStr"/>
    </row>
    <row r="10" ht="22" customHeight="1" s="121">
      <c r="A10" s="228" t="n">
        <v>6</v>
      </c>
      <c r="B10" s="258">
        <f>IFERROR(VLOOKUP(A10,'Cadastro Geral Campistas'!$A:$R,2,0),"")</f>
        <v/>
      </c>
      <c r="C10" s="258">
        <f>IFERROR(VLOOKUP(A10,'Cadastro Geral Campistas'!$A:$R,9,0),"")</f>
        <v/>
      </c>
      <c r="D10" s="262">
        <f>IFERROR(VLOOKUP(A10,'Cadastro Geral Campistas'!$A:$R,17,0),"")</f>
        <v/>
      </c>
      <c r="E10" s="213" t="inlineStr"/>
      <c r="F10" s="258">
        <f>IFERROR(VLOOKUP(A10,'Cadastro Geral Campistas'!$A:$R,8,0),"")</f>
        <v/>
      </c>
      <c r="G10" s="209" t="inlineStr"/>
      <c r="H10" s="209" t="inlineStr"/>
    </row>
    <row r="11" ht="22" customHeight="1" s="121">
      <c r="A11" s="259" t="n">
        <v>7</v>
      </c>
      <c r="B11" s="260">
        <f>IFERROR(VLOOKUP(A11,'Cadastro Geral Campistas'!$A:$R,2,0),"")</f>
        <v/>
      </c>
      <c r="C11" s="260">
        <f>IFERROR(VLOOKUP(A11,'Cadastro Geral Campistas'!$A:$R,9,0),"")</f>
        <v/>
      </c>
      <c r="D11" s="263">
        <f>IFERROR(VLOOKUP(A11,'Cadastro Geral Campistas'!$A:$R,17,0),"")</f>
        <v/>
      </c>
      <c r="E11" s="254" t="inlineStr"/>
      <c r="F11" s="260">
        <f>IFERROR(VLOOKUP(A11,'Cadastro Geral Campistas'!$A:$R,8,0),"")</f>
        <v/>
      </c>
      <c r="G11" s="209" t="inlineStr"/>
      <c r="H11" s="209" t="inlineStr"/>
    </row>
    <row r="12" ht="22" customHeight="1" s="121">
      <c r="A12" s="259" t="n">
        <v>8</v>
      </c>
      <c r="B12" s="260">
        <f>IFERROR(VLOOKUP(A12,'Cadastro Geral Campistas'!$A:$R,2,0),"")</f>
        <v/>
      </c>
      <c r="C12" s="260">
        <f>IFERROR(VLOOKUP(A12,'Cadastro Geral Campistas'!$A:$R,9,0),"")</f>
        <v/>
      </c>
      <c r="D12" s="235">
        <f>IFERROR(VLOOKUP(A12,'Cadastro Geral Campistas'!$A:$R,17,0),"")</f>
        <v/>
      </c>
      <c r="E12" s="254" t="inlineStr"/>
      <c r="F12" s="260">
        <f>IFERROR(VLOOKUP(A12,'Cadastro Geral Campistas'!$A:$R,8,0),"")</f>
        <v/>
      </c>
      <c r="G12" s="209" t="inlineStr"/>
      <c r="H12" s="209" t="inlineStr"/>
    </row>
    <row r="13" ht="22" customHeight="1" s="121">
      <c r="A13" s="224" t="n">
        <v>9</v>
      </c>
      <c r="B13" s="257">
        <f>IFERROR(VLOOKUP(A13,'Cadastro Geral Campistas'!$A:$R,2,0),"")</f>
        <v/>
      </c>
      <c r="C13" s="257">
        <f>IFERROR(VLOOKUP(A13,'Cadastro Geral Campistas'!$A:$R,9,0),"")</f>
        <v/>
      </c>
      <c r="D13" s="251">
        <f>IFERROR(VLOOKUP(A13,'Cadastro Geral Campistas'!$A:$R,17,0),"")</f>
        <v/>
      </c>
      <c r="E13" s="208" t="inlineStr"/>
      <c r="F13" s="257">
        <f>IFERROR(VLOOKUP(A13,'Cadastro Geral Campistas'!$A:$R,8,0),"")</f>
        <v/>
      </c>
      <c r="G13" s="209" t="inlineStr"/>
      <c r="H13" s="209" t="inlineStr"/>
    </row>
    <row r="14" ht="22" customHeight="1" s="121">
      <c r="A14" s="228" t="n">
        <v>10</v>
      </c>
      <c r="B14" s="258">
        <f>IFERROR(VLOOKUP(A14,'Cadastro Geral Campistas'!$A:$R,2,0),"")</f>
        <v/>
      </c>
      <c r="C14" s="258">
        <f>IFERROR(VLOOKUP(A14,'Cadastro Geral Campistas'!$A:$R,9,0),"")</f>
        <v/>
      </c>
      <c r="D14" s="235">
        <f>IFERROR(VLOOKUP(A14,'Cadastro Geral Campistas'!$A:$R,17,0),"")</f>
        <v/>
      </c>
      <c r="E14" s="213" t="inlineStr"/>
      <c r="F14" s="258">
        <f>IFERROR(VLOOKUP(A14,'Cadastro Geral Campistas'!$A:$R,8,0),"")</f>
        <v/>
      </c>
      <c r="G14" s="209" t="inlineStr"/>
      <c r="H14" s="209" t="inlineStr"/>
    </row>
    <row r="15" ht="22" customHeight="1" s="121">
      <c r="A15" s="224" t="n">
        <v>11</v>
      </c>
      <c r="B15" s="257">
        <f>IFERROR(VLOOKUP(A15,'Cadastro Geral Campistas'!$A:$R,2,0),"")</f>
        <v/>
      </c>
      <c r="C15" s="257">
        <f>IFERROR(VLOOKUP(A15,'Cadastro Geral Campistas'!$A:$R,9,0),"")</f>
        <v/>
      </c>
      <c r="D15" s="235">
        <f>IFERROR(VLOOKUP(A15,'Cadastro Geral Campistas'!$A:$R,17,0),"")</f>
        <v/>
      </c>
      <c r="E15" s="208" t="inlineStr"/>
      <c r="F15" s="257">
        <f>IFERROR(VLOOKUP(A15,'Cadastro Geral Campistas'!$A:$R,8,0),"")</f>
        <v/>
      </c>
      <c r="G15" s="209" t="inlineStr"/>
      <c r="H15" s="209" t="inlineStr"/>
    </row>
    <row r="16" ht="22" customHeight="1" s="121">
      <c r="A16" s="259" t="n">
        <v>12</v>
      </c>
      <c r="B16" s="260">
        <f>IFERROR(VLOOKUP(A16,'Cadastro Geral Campistas'!$A:$R,2,0),"")</f>
        <v/>
      </c>
      <c r="C16" s="260">
        <f>IFERROR(VLOOKUP(A16,'Cadastro Geral Campistas'!$A:$R,9,0),"")</f>
        <v/>
      </c>
      <c r="D16" s="251">
        <f>IFERROR(VLOOKUP(A16,'Cadastro Geral Campistas'!$A:$R,17,0),"")</f>
        <v/>
      </c>
      <c r="E16" s="254" t="inlineStr"/>
      <c r="F16" s="260">
        <f>IFERROR(VLOOKUP(A16,'Cadastro Geral Campistas'!$A:$R,8,0),"")</f>
        <v/>
      </c>
      <c r="G16" s="209" t="inlineStr"/>
      <c r="H16" s="209" t="inlineStr"/>
    </row>
    <row r="17" ht="22" customHeight="1" s="121">
      <c r="A17" s="224" t="n">
        <v>13</v>
      </c>
      <c r="B17" s="257">
        <f>IFERROR(VLOOKUP(A17,'Cadastro Geral Campistas'!$A:$R,2,0),"")</f>
        <v/>
      </c>
      <c r="C17" s="257">
        <f>IFERROR(VLOOKUP(A17,'Cadastro Geral Campistas'!$A:$R,9,0),"")</f>
        <v/>
      </c>
      <c r="D17" s="251">
        <f>IFERROR(VLOOKUP(A17,'Cadastro Geral Campistas'!$A:$R,17,0),"")</f>
        <v/>
      </c>
      <c r="E17" s="208" t="inlineStr"/>
      <c r="F17" s="257">
        <f>IFERROR(VLOOKUP(A17,'Cadastro Geral Campistas'!$A:$R,8,0),"")</f>
        <v/>
      </c>
      <c r="G17" s="209" t="inlineStr"/>
      <c r="H17" s="209" t="inlineStr"/>
    </row>
    <row r="18" ht="22" customHeight="1" s="121">
      <c r="A18" s="228" t="n">
        <v>14</v>
      </c>
      <c r="B18" s="258">
        <f>IFERROR(VLOOKUP(A18,'Cadastro Geral Campistas'!$A:$R,2,0),"")</f>
        <v/>
      </c>
      <c r="C18" s="258">
        <f>IFERROR(VLOOKUP(A18,'Cadastro Geral Campistas'!$A:$R,9,0),"")</f>
        <v/>
      </c>
      <c r="D18" s="263">
        <f>IFERROR(VLOOKUP(A18,'Cadastro Geral Campistas'!$A:$R,17,0),"")</f>
        <v/>
      </c>
      <c r="E18" s="213" t="inlineStr"/>
      <c r="F18" s="258">
        <f>IFERROR(VLOOKUP(A18,'Cadastro Geral Campistas'!$A:$R,8,0),"")</f>
        <v/>
      </c>
      <c r="G18" s="209" t="inlineStr"/>
      <c r="H18" s="209" t="inlineStr"/>
    </row>
    <row r="19" ht="22" customHeight="1" s="121">
      <c r="A19" s="224" t="n">
        <v>15</v>
      </c>
      <c r="B19" s="257">
        <f>IFERROR(VLOOKUP(A19,'Cadastro Geral Campistas'!$A:$R,2,0),"")</f>
        <v/>
      </c>
      <c r="C19" s="257">
        <f>IFERROR(VLOOKUP(A19,'Cadastro Geral Campistas'!$A:$R,9,0),"")</f>
        <v/>
      </c>
      <c r="D19" s="235">
        <f>IFERROR(VLOOKUP(A19,'Cadastro Geral Campistas'!$A:$R,17,0),"")</f>
        <v/>
      </c>
      <c r="E19" s="208" t="inlineStr"/>
      <c r="F19" s="257">
        <f>IFERROR(VLOOKUP(A19,'Cadastro Geral Campistas'!$A:$R,8,0),"")</f>
        <v/>
      </c>
      <c r="G19" s="209" t="inlineStr"/>
      <c r="H19" s="209" t="inlineStr"/>
    </row>
    <row r="20" ht="22" customHeight="1" s="121">
      <c r="A20" s="259" t="n">
        <v>16</v>
      </c>
      <c r="B20" s="260">
        <f>IFERROR(VLOOKUP(A20,'Cadastro Geral Campistas'!$A:$R,2,0),"")</f>
        <v/>
      </c>
      <c r="C20" s="260">
        <f>IFERROR(VLOOKUP(A20,'Cadastro Geral Campistas'!$A:$R,9,0),"")</f>
        <v/>
      </c>
      <c r="D20" s="226">
        <f>IFERROR(VLOOKUP(A20,'Cadastro Geral Campistas'!$A:$R,17,0),"")</f>
        <v/>
      </c>
      <c r="E20" s="254" t="inlineStr"/>
      <c r="F20" s="260">
        <f>IFERROR(VLOOKUP(A20,'Cadastro Geral Campistas'!$A:$R,8,0),"")</f>
        <v/>
      </c>
      <c r="G20" s="209" t="inlineStr"/>
      <c r="H20" s="209" t="inlineStr"/>
    </row>
    <row r="21" ht="22" customHeight="1" s="121">
      <c r="A21" s="259" t="n">
        <v>26</v>
      </c>
      <c r="B21" s="260">
        <f>IFERROR(VLOOKUP(A21,'Cadastro Geral Campistas'!$A:$R,2,0),"")</f>
        <v/>
      </c>
      <c r="C21" s="260">
        <f>IFERROR(VLOOKUP(A21,'Cadastro Geral Campistas'!$A:$R,9,0),"")</f>
        <v/>
      </c>
      <c r="D21" s="263">
        <f>IFERROR(VLOOKUP(A21,'Cadastro Geral Campistas'!$A:$R,17,0),"")</f>
        <v/>
      </c>
      <c r="E21" s="254" t="inlineStr"/>
      <c r="F21" s="260">
        <f>IFERROR(VLOOKUP(A21,'Cadastro Geral Campistas'!$A:$R,8,0),"")</f>
        <v/>
      </c>
      <c r="G21" s="209" t="inlineStr"/>
      <c r="H21" s="209" t="inlineStr"/>
    </row>
    <row r="22" ht="22" customHeight="1" s="121">
      <c r="A22" s="228" t="n">
        <v>27</v>
      </c>
      <c r="B22" s="258">
        <f>IFERROR(VLOOKUP(A22,'Cadastro Geral Campistas'!$A:$R,2,0),"")</f>
        <v/>
      </c>
      <c r="C22" s="258">
        <f>IFERROR(VLOOKUP(A22,'Cadastro Geral Campistas'!$A:$R,9,0),"")</f>
        <v/>
      </c>
      <c r="D22" s="262">
        <f>IFERROR(VLOOKUP(A22,'Cadastro Geral Campistas'!$A:$R,17,0),"")</f>
        <v/>
      </c>
      <c r="E22" s="213" t="inlineStr"/>
      <c r="F22" s="258">
        <f>IFERROR(VLOOKUP(A22,'Cadastro Geral Campistas'!$A:$R,8,0),"")</f>
        <v/>
      </c>
      <c r="G22" s="209" t="inlineStr"/>
      <c r="H22" s="209" t="inlineStr"/>
    </row>
    <row r="23" ht="22" customHeight="1" s="121">
      <c r="A23" s="224" t="n">
        <v>29</v>
      </c>
      <c r="B23" s="257">
        <f>IFERROR(VLOOKUP(A23,'Cadastro Geral Campistas'!$A:$R,2,0),"")</f>
        <v/>
      </c>
      <c r="C23" s="257">
        <f>IFERROR(VLOOKUP(A23,'Cadastro Geral Campistas'!$A:$R,9,0),"")</f>
        <v/>
      </c>
      <c r="D23" s="235">
        <f>IFERROR(VLOOKUP(A23,'Cadastro Geral Campistas'!$A:$R,17,0),"")</f>
        <v/>
      </c>
      <c r="E23" s="208" t="inlineStr"/>
      <c r="F23" s="257">
        <f>IFERROR(VLOOKUP(A23,'Cadastro Geral Campistas'!$A:$R,8,0),"")</f>
        <v/>
      </c>
      <c r="G23" s="209" t="inlineStr"/>
      <c r="H23" s="209" t="inlineStr"/>
    </row>
    <row r="24" ht="22" customHeight="1" s="121">
      <c r="A24" s="228" t="n">
        <v>17</v>
      </c>
      <c r="B24" s="258">
        <f>IFERROR(VLOOKUP(A24,'Cadastro Geral Campistas'!$A:$R,2,0),"")</f>
        <v/>
      </c>
      <c r="C24" s="258">
        <f>IFERROR(VLOOKUP(A24,'Cadastro Geral Campistas'!$A:$R,9,0),"")</f>
        <v/>
      </c>
      <c r="D24" s="235">
        <f>IFERROR(VLOOKUP(A24,'Cadastro Geral Campistas'!$A:$R,17,0),"")</f>
        <v/>
      </c>
      <c r="E24" s="213" t="inlineStr"/>
      <c r="F24" s="258">
        <f>IFERROR(VLOOKUP(A24,'Cadastro Geral Campistas'!$A:$R,8,0),"")</f>
        <v/>
      </c>
      <c r="G24" s="209" t="inlineStr"/>
      <c r="H24" s="209" t="inlineStr"/>
    </row>
    <row r="25" ht="22" customHeight="1" s="121">
      <c r="A25" s="224" t="n">
        <v>18</v>
      </c>
      <c r="B25" s="257">
        <f>IFERROR(VLOOKUP(A25,'Cadastro Geral Campistas'!$A:$R,2,0),"")</f>
        <v/>
      </c>
      <c r="C25" s="257">
        <f>IFERROR(VLOOKUP(A25,'Cadastro Geral Campistas'!$A:$R,9,0),"")</f>
        <v/>
      </c>
      <c r="D25" s="231">
        <f>IFERROR(VLOOKUP(A25,'Cadastro Geral Campistas'!$A:$R,17,0),"")</f>
        <v/>
      </c>
      <c r="E25" s="208" t="inlineStr"/>
      <c r="F25" s="257">
        <f>IFERROR(VLOOKUP(A25,'Cadastro Geral Campistas'!$A:$R,8,0),"")</f>
        <v/>
      </c>
      <c r="G25" s="209" t="inlineStr"/>
      <c r="H25" s="209" t="inlineStr"/>
    </row>
    <row r="26" ht="22" customHeight="1" s="121">
      <c r="A26" s="259" t="n">
        <v>19</v>
      </c>
      <c r="B26" s="260">
        <f>IFERROR(VLOOKUP(A26,'Cadastro Geral Campistas'!$A:$R,2,0),"")</f>
        <v/>
      </c>
      <c r="C26" s="260">
        <f>IFERROR(VLOOKUP(A26,'Cadastro Geral Campistas'!$A:$R,9,0),"")</f>
        <v/>
      </c>
      <c r="D26" s="262">
        <f>IFERROR(VLOOKUP(A26,'Cadastro Geral Campistas'!$A:$R,17,0),"")</f>
        <v/>
      </c>
      <c r="E26" s="254" t="inlineStr"/>
      <c r="F26" s="260">
        <f>IFERROR(VLOOKUP(A26,'Cadastro Geral Campistas'!$A:$R,8,0),"")</f>
        <v/>
      </c>
      <c r="G26" s="209" t="inlineStr"/>
      <c r="H26" s="209" t="inlineStr"/>
    </row>
    <row r="27" ht="22" customHeight="1" s="121">
      <c r="A27" s="259" t="n">
        <v>21</v>
      </c>
      <c r="B27" s="260">
        <f>IFERROR(VLOOKUP(A27,'Cadastro Geral Campistas'!$A:$R,2,0),"")</f>
        <v/>
      </c>
      <c r="C27" s="260">
        <f>IFERROR(VLOOKUP(A27,'Cadastro Geral Campistas'!$A:$R,9,0),"")</f>
        <v/>
      </c>
      <c r="D27" s="261">
        <f>IFERROR(VLOOKUP(A27,'Cadastro Geral Campistas'!$A:$R,17,0),"")</f>
        <v/>
      </c>
      <c r="E27" s="254" t="inlineStr"/>
      <c r="F27" s="260">
        <f>IFERROR(VLOOKUP(A27,'Cadastro Geral Campistas'!$A:$R,8,0),"")</f>
        <v/>
      </c>
      <c r="G27" s="209" t="inlineStr"/>
      <c r="H27" s="209" t="inlineStr"/>
    </row>
    <row r="28" ht="22" customHeight="1" s="121">
      <c r="A28" s="228" t="n">
        <v>20</v>
      </c>
      <c r="B28" s="258">
        <f>IFERROR(VLOOKUP(A28,'Cadastro Geral Campistas'!$A:$R,2,0),"")</f>
        <v/>
      </c>
      <c r="C28" s="258">
        <f>IFERROR(VLOOKUP(A28,'Cadastro Geral Campistas'!$A:$R,9,0),"")</f>
        <v/>
      </c>
      <c r="D28" s="226">
        <f>IFERROR(VLOOKUP(A28,'Cadastro Geral Campistas'!$A:$R,17,0),"")</f>
        <v/>
      </c>
      <c r="E28" s="213" t="inlineStr"/>
      <c r="F28" s="258">
        <f>IFERROR(VLOOKUP(A28,'Cadastro Geral Campistas'!$A:$R,8,0),"")</f>
        <v/>
      </c>
      <c r="G28" s="209" t="inlineStr"/>
      <c r="H28" s="209" t="inlineStr"/>
    </row>
    <row r="29" ht="22" customHeight="1" s="121">
      <c r="A29" s="224" t="n">
        <v>22</v>
      </c>
      <c r="B29" s="257">
        <f>IFERROR(VLOOKUP(A29,'Cadastro Geral Campistas'!$A:$R,2,0),"")</f>
        <v/>
      </c>
      <c r="C29" s="257">
        <f>IFERROR(VLOOKUP(A29,'Cadastro Geral Campistas'!$A:$R,9,0),"")</f>
        <v/>
      </c>
      <c r="D29" s="232">
        <f>IFERROR(VLOOKUP(A29,'Cadastro Geral Campistas'!$A:$R,17,0),"")</f>
        <v/>
      </c>
      <c r="E29" s="208" t="inlineStr"/>
      <c r="F29" s="257">
        <f>IFERROR(VLOOKUP(A29,'Cadastro Geral Campistas'!$A:$R,8,0),"")</f>
        <v/>
      </c>
      <c r="G29" s="209" t="inlineStr"/>
      <c r="H29" s="209" t="inlineStr"/>
    </row>
    <row r="30" ht="22" customHeight="1" s="121">
      <c r="A30" s="228" t="n">
        <v>23</v>
      </c>
      <c r="B30" s="258">
        <f>IFERROR(VLOOKUP(A30,'Cadastro Geral Campistas'!$A:$R,2,0),"")</f>
        <v/>
      </c>
      <c r="C30" s="258">
        <f>IFERROR(VLOOKUP(A30,'Cadastro Geral Campistas'!$A:$R,9,0),"")</f>
        <v/>
      </c>
      <c r="D30" s="237">
        <f>IFERROR(VLOOKUP(A30,'Cadastro Geral Campistas'!$A:$R,17,0),"")</f>
        <v/>
      </c>
      <c r="E30" s="213" t="inlineStr"/>
      <c r="F30" s="258">
        <f>IFERROR(VLOOKUP(A30,'Cadastro Geral Campistas'!$A:$R,8,0),"")</f>
        <v/>
      </c>
      <c r="G30" s="209" t="inlineStr"/>
      <c r="H30" s="209" t="inlineStr"/>
    </row>
    <row r="31" ht="22" customHeight="1" s="121">
      <c r="A31" s="224" t="n">
        <v>24</v>
      </c>
      <c r="B31" s="257">
        <f>IFERROR(VLOOKUP(A31,'Cadastro Geral Campistas'!$A:$R,2,0),"")</f>
        <v/>
      </c>
      <c r="C31" s="257">
        <f>IFERROR(VLOOKUP(A31,'Cadastro Geral Campistas'!$A:$R,9,0),"")</f>
        <v/>
      </c>
      <c r="D31" s="232">
        <f>IFERROR(VLOOKUP(A31,'Cadastro Geral Campistas'!$A:$R,17,0),"")</f>
        <v/>
      </c>
      <c r="E31" s="208" t="inlineStr"/>
      <c r="F31" s="257">
        <f>IFERROR(VLOOKUP(A31,'Cadastro Geral Campistas'!$A:$R,8,0),"")</f>
        <v/>
      </c>
      <c r="G31" s="209" t="inlineStr"/>
      <c r="H31" s="209" t="inlineStr"/>
    </row>
    <row r="32" ht="22" customHeight="1" s="121">
      <c r="A32" s="228" t="n">
        <v>25</v>
      </c>
      <c r="B32" s="258">
        <f>IFERROR(VLOOKUP(A32,'Cadastro Geral Campistas'!$A:$R,2,0),"")</f>
        <v/>
      </c>
      <c r="C32" s="258">
        <f>IFERROR(VLOOKUP(A32,'Cadastro Geral Campistas'!$A:$R,9,0),"")</f>
        <v/>
      </c>
      <c r="D32" s="231">
        <f>IFERROR(VLOOKUP(A32,'Cadastro Geral Campistas'!$A:$R,17,0),"")</f>
        <v/>
      </c>
      <c r="E32" s="213" t="inlineStr"/>
      <c r="F32" s="258">
        <f>IFERROR(VLOOKUP(A32,'Cadastro Geral Campistas'!$A:$R,8,0),"")</f>
        <v/>
      </c>
      <c r="G32" s="209" t="inlineStr"/>
      <c r="H32" s="209" t="inlineStr"/>
    </row>
    <row r="33" ht="22" customHeight="1" s="121">
      <c r="A33" s="224" t="n">
        <v>30</v>
      </c>
      <c r="B33" s="257">
        <f>IFERROR(VLOOKUP(A33,'Cadastro Geral Campistas'!$A:$R,2,0),"")</f>
        <v/>
      </c>
      <c r="C33" s="257">
        <f>IFERROR(VLOOKUP(A33,'Cadastro Geral Campistas'!$A:$R,9,0),"")</f>
        <v/>
      </c>
      <c r="D33" s="261">
        <f>IFERROR(VLOOKUP(A33,'Cadastro Geral Campistas'!$A:$R,17,0),"")</f>
        <v/>
      </c>
      <c r="E33" s="208" t="inlineStr"/>
      <c r="F33" s="257">
        <f>IFERROR(VLOOKUP(A33,'Cadastro Geral Campistas'!$A:$R,8,0),"")</f>
        <v/>
      </c>
      <c r="G33" s="209" t="inlineStr"/>
      <c r="H33" s="209" t="inlineStr"/>
    </row>
    <row r="34" ht="22" customHeight="1" s="121">
      <c r="A34" s="228" t="n">
        <v>31</v>
      </c>
      <c r="B34" s="258">
        <f>IFERROR(VLOOKUP(A34,'Cadastro Geral Campistas'!$A:$R,2,0),"")</f>
        <v/>
      </c>
      <c r="C34" s="258">
        <f>IFERROR(VLOOKUP(A34,'Cadastro Geral Campistas'!$A:$R,9,0),"")</f>
        <v/>
      </c>
      <c r="D34" s="237">
        <f>IFERROR(VLOOKUP(A34,'Cadastro Geral Campistas'!$A:$R,17,0),"")</f>
        <v/>
      </c>
      <c r="E34" s="213" t="inlineStr"/>
      <c r="F34" s="258">
        <f>IFERROR(VLOOKUP(A34,'Cadastro Geral Campistas'!$A:$R,8,0),"")</f>
        <v/>
      </c>
      <c r="G34" s="209" t="inlineStr"/>
      <c r="H34" s="209" t="inlineStr"/>
    </row>
    <row r="35" ht="22" customHeight="1" s="121">
      <c r="A35" s="259" t="n">
        <v>32</v>
      </c>
      <c r="B35" s="260">
        <f>IFERROR(VLOOKUP(A35,'Cadastro Geral Campistas'!$A:$R,2,0),"")</f>
        <v/>
      </c>
      <c r="C35" s="260">
        <f>IFERROR(VLOOKUP(A35,'Cadastro Geral Campistas'!$A:$R,9,0),"")</f>
        <v/>
      </c>
      <c r="D35" s="232">
        <f>IFERROR(VLOOKUP(A35,'Cadastro Geral Campistas'!$A:$R,17,0),"")</f>
        <v/>
      </c>
      <c r="E35" s="254" t="inlineStr"/>
      <c r="F35" s="260">
        <f>IFERROR(VLOOKUP(A35,'Cadastro Geral Campistas'!$A:$R,8,0),"")</f>
        <v/>
      </c>
      <c r="G35" s="209" t="inlineStr"/>
      <c r="H35" s="209" t="inlineStr"/>
    </row>
    <row r="36" ht="22" customHeight="1" s="121">
      <c r="A36" s="259" t="n">
        <v>33</v>
      </c>
      <c r="B36" s="260">
        <f>IFERROR(VLOOKUP(A36,'Cadastro Geral Campistas'!$A:$R,2,0),"")</f>
        <v/>
      </c>
      <c r="C36" s="260">
        <f>IFERROR(VLOOKUP(A36,'Cadastro Geral Campistas'!$A:$R,9,0),"")</f>
        <v/>
      </c>
      <c r="D36" s="226">
        <f>IFERROR(VLOOKUP(A36,'Cadastro Geral Campistas'!$A:$R,17,0),"")</f>
        <v/>
      </c>
      <c r="E36" s="254" t="inlineStr"/>
      <c r="F36" s="260">
        <f>IFERROR(VLOOKUP(A36,'Cadastro Geral Campistas'!$A:$R,8,0),"")</f>
        <v/>
      </c>
      <c r="G36" s="209" t="inlineStr"/>
      <c r="H36" s="209" t="inlineStr"/>
    </row>
    <row r="37" ht="22" customHeight="1" s="121">
      <c r="A37" s="224" t="n">
        <v>35</v>
      </c>
      <c r="B37" s="257">
        <f>IFERROR(VLOOKUP(A37,'Cadastro Geral Campistas'!$A:$R,2,0),"")</f>
        <v/>
      </c>
      <c r="C37" s="257">
        <f>IFERROR(VLOOKUP(A37,'Cadastro Geral Campistas'!$A:$R,9,0),"")</f>
        <v/>
      </c>
      <c r="D37" s="235">
        <f>IFERROR(VLOOKUP(A37,'Cadastro Geral Campistas'!$A:$R,17,0),"")</f>
        <v/>
      </c>
      <c r="E37" s="208" t="inlineStr"/>
      <c r="F37" s="257">
        <f>IFERROR(VLOOKUP(A37,'Cadastro Geral Campistas'!$A:$R,8,0),"")</f>
        <v/>
      </c>
      <c r="G37" s="209" t="inlineStr"/>
      <c r="H37" s="209" t="inlineStr"/>
    </row>
    <row r="38" ht="22" customHeight="1" s="121">
      <c r="A38" s="228" t="n">
        <v>37</v>
      </c>
      <c r="B38" s="258">
        <f>IFERROR(VLOOKUP(A38,'Cadastro Geral Campistas'!$A:$R,2,0),"")</f>
        <v/>
      </c>
      <c r="C38" s="258">
        <f>IFERROR(VLOOKUP(A38,'Cadastro Geral Campistas'!$A:$R,9,0),"")</f>
        <v/>
      </c>
      <c r="D38" s="251">
        <f>IFERROR(VLOOKUP(A38,'Cadastro Geral Campistas'!$A:$R,17,0),"")</f>
        <v/>
      </c>
      <c r="E38" s="213" t="inlineStr"/>
      <c r="F38" s="258">
        <f>IFERROR(VLOOKUP(A38,'Cadastro Geral Campistas'!$A:$R,8,0),"")</f>
        <v/>
      </c>
      <c r="G38" s="209" t="inlineStr"/>
      <c r="H38" s="209" t="inlineStr"/>
    </row>
    <row r="39" ht="22" customHeight="1" s="121">
      <c r="A39" s="224" t="n">
        <v>36</v>
      </c>
      <c r="B39" s="257">
        <f>IFERROR(VLOOKUP(A39,'Cadastro Geral Campistas'!$A:$R,2,0),"")</f>
        <v/>
      </c>
      <c r="C39" s="257">
        <f>IFERROR(VLOOKUP(A39,'Cadastro Geral Campistas'!$A:$R,9,0),"")</f>
        <v/>
      </c>
      <c r="D39" s="232">
        <f>IFERROR(VLOOKUP(A39,'Cadastro Geral Campistas'!$A:$R,17,0),"")</f>
        <v/>
      </c>
      <c r="E39" s="208" t="inlineStr"/>
      <c r="F39" s="257">
        <f>IFERROR(VLOOKUP(A39,'Cadastro Geral Campistas'!$A:$R,8,0),"")</f>
        <v/>
      </c>
      <c r="G39" s="209" t="inlineStr"/>
      <c r="H39" s="209" t="inlineStr"/>
    </row>
    <row r="40" ht="22" customHeight="1" s="121">
      <c r="A40" s="228" t="n">
        <v>38</v>
      </c>
      <c r="B40" s="258">
        <f>IFERROR(VLOOKUP(A40,'Cadastro Geral Campistas'!$A:$R,2,0),"")</f>
        <v/>
      </c>
      <c r="C40" s="258">
        <f>IFERROR(VLOOKUP(A40,'Cadastro Geral Campistas'!$A:$R,9,0),"")</f>
        <v/>
      </c>
      <c r="D40" s="231">
        <f>IFERROR(VLOOKUP(A40,'Cadastro Geral Campistas'!$A:$R,17,0),"")</f>
        <v/>
      </c>
      <c r="E40" s="213" t="inlineStr"/>
      <c r="F40" s="258">
        <f>IFERROR(VLOOKUP(A40,'Cadastro Geral Campistas'!$A:$R,8,0),"")</f>
        <v/>
      </c>
      <c r="G40" s="209" t="inlineStr"/>
      <c r="H40" s="209" t="inlineStr"/>
    </row>
    <row r="41" ht="22" customHeight="1" s="121">
      <c r="A41" s="224" t="n">
        <v>39</v>
      </c>
      <c r="B41" s="257">
        <f>IFERROR(VLOOKUP(A41,'Cadastro Geral Campistas'!$A:$R,2,0),"")</f>
        <v/>
      </c>
      <c r="C41" s="257">
        <f>IFERROR(VLOOKUP(A41,'Cadastro Geral Campistas'!$A:$R,9,0),"")</f>
        <v/>
      </c>
      <c r="D41" s="235">
        <f>IFERROR(VLOOKUP(A41,'Cadastro Geral Campistas'!$A:$R,17,0),"")</f>
        <v/>
      </c>
      <c r="E41" s="208" t="inlineStr"/>
      <c r="F41" s="257">
        <f>IFERROR(VLOOKUP(A41,'Cadastro Geral Campistas'!$A:$R,8,0),"")</f>
        <v/>
      </c>
      <c r="G41" s="209" t="inlineStr"/>
      <c r="H41" s="209" t="inlineStr"/>
    </row>
    <row r="42" ht="22" customHeight="1" s="121">
      <c r="A42" s="259" t="n">
        <v>40</v>
      </c>
      <c r="B42" s="260">
        <f>IFERROR(VLOOKUP(A42,'Cadastro Geral Campistas'!$A:$R,2,0),"")</f>
        <v/>
      </c>
      <c r="C42" s="260">
        <f>IFERROR(VLOOKUP(A42,'Cadastro Geral Campistas'!$A:$R,9,0),"")</f>
        <v/>
      </c>
      <c r="D42" s="263">
        <f>IFERROR(VLOOKUP(A42,'Cadastro Geral Campistas'!$A:$R,17,0),"")</f>
        <v/>
      </c>
      <c r="E42" s="254" t="inlineStr"/>
      <c r="F42" s="260">
        <f>IFERROR(VLOOKUP(A42,'Cadastro Geral Campistas'!$A:$R,8,0),"")</f>
        <v/>
      </c>
      <c r="G42" s="209" t="inlineStr"/>
      <c r="H42" s="209" t="inlineStr"/>
    </row>
    <row r="43" ht="22" customHeight="1" s="121">
      <c r="A43" s="224" t="n">
        <v>41</v>
      </c>
      <c r="B43" s="257">
        <f>IFERROR(VLOOKUP(A43,'Cadastro Geral Campistas'!$A:$R,2,0),"")</f>
        <v/>
      </c>
      <c r="C43" s="257">
        <f>IFERROR(VLOOKUP(A43,'Cadastro Geral Campistas'!$A:$R,9,0),"")</f>
        <v/>
      </c>
      <c r="D43" s="226">
        <f>IFERROR(VLOOKUP(A43,'Cadastro Geral Campistas'!$A:$R,17,0),"")</f>
        <v/>
      </c>
      <c r="E43" s="208" t="inlineStr"/>
      <c r="F43" s="257">
        <f>IFERROR(VLOOKUP(A43,'Cadastro Geral Campistas'!$A:$R,8,0),"")</f>
        <v/>
      </c>
      <c r="G43" s="209" t="inlineStr"/>
      <c r="H43" s="209" t="inlineStr"/>
    </row>
    <row r="44" ht="22" customHeight="1" s="121">
      <c r="A44" s="228" t="n">
        <v>42</v>
      </c>
      <c r="B44" s="258">
        <f>IFERROR(VLOOKUP(A44,'Cadastro Geral Campistas'!$A:$R,2,0),"")</f>
        <v/>
      </c>
      <c r="C44" s="258">
        <f>IFERROR(VLOOKUP(A44,'Cadastro Geral Campistas'!$A:$R,9,0),"")</f>
        <v/>
      </c>
      <c r="D44" s="261">
        <f>IFERROR(VLOOKUP(A44,'Cadastro Geral Campistas'!$A:$R,17,0),"")</f>
        <v/>
      </c>
      <c r="E44" s="213" t="inlineStr"/>
      <c r="F44" s="258">
        <f>IFERROR(VLOOKUP(A44,'Cadastro Geral Campistas'!$A:$R,8,0),"")</f>
        <v/>
      </c>
      <c r="G44" s="209" t="inlineStr"/>
      <c r="H44" s="209" t="inlineStr"/>
    </row>
    <row r="45" ht="22" customHeight="1" s="121">
      <c r="A45" s="224" t="n">
        <v>43</v>
      </c>
      <c r="B45" s="257">
        <f>IFERROR(VLOOKUP(A45,'Cadastro Geral Campistas'!$A:$R,2,0),"")</f>
        <v/>
      </c>
      <c r="C45" s="257">
        <f>IFERROR(VLOOKUP(A45,'Cadastro Geral Campistas'!$A:$R,9,0),"")</f>
        <v/>
      </c>
      <c r="D45" s="232">
        <f>IFERROR(VLOOKUP(A45,'Cadastro Geral Campistas'!$A:$R,17,0),"")</f>
        <v/>
      </c>
      <c r="E45" s="208" t="inlineStr"/>
      <c r="F45" s="257">
        <f>IFERROR(VLOOKUP(A45,'Cadastro Geral Campistas'!$A:$R,8,0),"")</f>
        <v/>
      </c>
      <c r="G45" s="209" t="inlineStr"/>
      <c r="H45" s="209" t="inlineStr"/>
    </row>
    <row r="46" ht="22" customHeight="1" s="121">
      <c r="A46" s="228" t="n">
        <v>44</v>
      </c>
      <c r="B46" s="258">
        <f>IFERROR(VLOOKUP(A46,'Cadastro Geral Campistas'!$A:$R,2,0),"")</f>
        <v/>
      </c>
      <c r="C46" s="258">
        <f>IFERROR(VLOOKUP(A46,'Cadastro Geral Campistas'!$A:$R,9,0),"")</f>
        <v/>
      </c>
      <c r="D46" s="237">
        <f>IFERROR(VLOOKUP(A46,'Cadastro Geral Campistas'!$A:$R,17,0),"")</f>
        <v/>
      </c>
      <c r="E46" s="213" t="inlineStr"/>
      <c r="F46" s="258">
        <f>IFERROR(VLOOKUP(A46,'Cadastro Geral Campistas'!$A:$R,8,0),"")</f>
        <v/>
      </c>
      <c r="G46" s="209" t="inlineStr"/>
      <c r="H46" s="209" t="inlineStr"/>
    </row>
    <row r="47" ht="22" customHeight="1" s="121">
      <c r="A47" s="224" t="n">
        <v>45</v>
      </c>
      <c r="B47" s="257">
        <f>IFERROR(VLOOKUP(A47,'Cadastro Geral Campistas'!$A:$R,2,0),"")</f>
        <v/>
      </c>
      <c r="C47" s="257">
        <f>IFERROR(VLOOKUP(A47,'Cadastro Geral Campistas'!$A:$R,9,0),"")</f>
        <v/>
      </c>
      <c r="D47" s="237">
        <f>IFERROR(VLOOKUP(A47,'Cadastro Geral Campistas'!$A:$R,17,0),"")</f>
        <v/>
      </c>
      <c r="E47" s="208" t="inlineStr"/>
      <c r="F47" s="257">
        <f>IFERROR(VLOOKUP(A47,'Cadastro Geral Campistas'!$A:$R,8,0),"")</f>
        <v/>
      </c>
      <c r="G47" s="209" t="inlineStr"/>
      <c r="H47" s="209" t="inlineStr"/>
    </row>
    <row r="48" ht="22" customHeight="1" s="121">
      <c r="A48" s="228" t="n">
        <v>46</v>
      </c>
      <c r="B48" s="258">
        <f>IFERROR(VLOOKUP(A48,'Cadastro Geral Campistas'!$A:$R,2,0),"")</f>
        <v/>
      </c>
      <c r="C48" s="258">
        <f>IFERROR(VLOOKUP(A48,'Cadastro Geral Campistas'!$A:$R,9,0),"")</f>
        <v/>
      </c>
      <c r="D48" s="235">
        <f>IFERROR(VLOOKUP(A48,'Cadastro Geral Campistas'!$A:$R,17,0),"")</f>
        <v/>
      </c>
      <c r="E48" s="213" t="inlineStr"/>
      <c r="F48" s="258">
        <f>IFERROR(VLOOKUP(A48,'Cadastro Geral Campistas'!$A:$R,8,0),"")</f>
        <v/>
      </c>
      <c r="G48" s="209" t="inlineStr"/>
      <c r="H48" s="209" t="inlineStr"/>
    </row>
    <row r="49" ht="22" customHeight="1" s="121">
      <c r="A49" s="224" t="n">
        <v>47</v>
      </c>
      <c r="B49" s="257">
        <f>IFERROR(VLOOKUP(A49,'Cadastro Geral Campistas'!$A:$R,2,0),"")</f>
        <v/>
      </c>
      <c r="C49" s="257">
        <f>IFERROR(VLOOKUP(A49,'Cadastro Geral Campistas'!$A:$R,9,0),"")</f>
        <v/>
      </c>
      <c r="D49" s="231">
        <f>IFERROR(VLOOKUP(A49,'Cadastro Geral Campistas'!$A:$R,17,0),"")</f>
        <v/>
      </c>
      <c r="E49" s="208" t="inlineStr"/>
      <c r="F49" s="257">
        <f>IFERROR(VLOOKUP(A49,'Cadastro Geral Campistas'!$A:$R,8,0),"")</f>
        <v/>
      </c>
      <c r="G49" s="209" t="inlineStr"/>
      <c r="H49" s="209" t="inlineStr"/>
    </row>
    <row r="50" ht="22" customHeight="1" s="121">
      <c r="A50" s="228" t="n">
        <v>48</v>
      </c>
      <c r="B50" s="258">
        <f>IFERROR(VLOOKUP(A50,'Cadastro Geral Campistas'!$A:$R,2,0),"")</f>
        <v/>
      </c>
      <c r="C50" s="258">
        <f>IFERROR(VLOOKUP(A50,'Cadastro Geral Campistas'!$A:$R,9,0),"")</f>
        <v/>
      </c>
      <c r="D50" s="235">
        <f>IFERROR(VLOOKUP(A50,'Cadastro Geral Campistas'!$A:$R,17,0),"")</f>
        <v/>
      </c>
      <c r="E50" s="213" t="inlineStr"/>
      <c r="F50" s="258">
        <f>IFERROR(VLOOKUP(A50,'Cadastro Geral Campistas'!$A:$R,8,0),"")</f>
        <v/>
      </c>
      <c r="G50" s="209" t="inlineStr"/>
      <c r="H50" s="209" t="inlineStr"/>
    </row>
    <row r="51" ht="22" customHeight="1" s="121">
      <c r="A51" s="224" t="n">
        <v>49</v>
      </c>
      <c r="B51" s="257">
        <f>IFERROR(VLOOKUP(A51,'Cadastro Geral Campistas'!$A:$R,2,0),"")</f>
        <v/>
      </c>
      <c r="C51" s="257">
        <f>IFERROR(VLOOKUP(A51,'Cadastro Geral Campistas'!$A:$R,9,0),"")</f>
        <v/>
      </c>
      <c r="D51" s="261">
        <f>IFERROR(VLOOKUP(A51,'Cadastro Geral Campistas'!$A:$R,17,0),"")</f>
        <v/>
      </c>
      <c r="E51" s="208" t="inlineStr"/>
      <c r="F51" s="257">
        <f>IFERROR(VLOOKUP(A51,'Cadastro Geral Campistas'!$A:$R,8,0),"")</f>
        <v/>
      </c>
      <c r="G51" s="209" t="inlineStr"/>
      <c r="H51" s="209" t="inlineStr"/>
    </row>
    <row r="52" ht="22" customHeight="1" s="121">
      <c r="A52" s="228" t="n">
        <v>50</v>
      </c>
      <c r="B52" s="258">
        <f>IFERROR(VLOOKUP(A52,'Cadastro Geral Campistas'!$A:$R,2,0),"")</f>
        <v/>
      </c>
      <c r="C52" s="258">
        <f>IFERROR(VLOOKUP(A52,'Cadastro Geral Campistas'!$A:$R,9,0),"")</f>
        <v/>
      </c>
      <c r="D52" s="262">
        <f>IFERROR(VLOOKUP(A52,'Cadastro Geral Campistas'!$A:$R,17,0),"")</f>
        <v/>
      </c>
      <c r="E52" s="213" t="inlineStr"/>
      <c r="F52" s="258">
        <f>IFERROR(VLOOKUP(A52,'Cadastro Geral Campistas'!$A:$R,8,0),"")</f>
        <v/>
      </c>
      <c r="G52" s="209" t="inlineStr"/>
      <c r="H52" s="209" t="inlineStr"/>
    </row>
    <row r="53" ht="22" customHeight="1" s="121">
      <c r="A53" s="224" t="n">
        <v>51</v>
      </c>
      <c r="B53" s="257">
        <f>IFERROR(VLOOKUP(A53,'Cadastro Geral Campistas'!$A:$R,2,0),"")</f>
        <v/>
      </c>
      <c r="C53" s="257">
        <f>IFERROR(VLOOKUP(A53,'Cadastro Geral Campistas'!$A:$R,9,0),"")</f>
        <v/>
      </c>
      <c r="D53" s="226">
        <f>IFERROR(VLOOKUP(A53,'Cadastro Geral Campistas'!$A:$R,17,0),"")</f>
        <v/>
      </c>
      <c r="E53" s="208" t="inlineStr"/>
      <c r="F53" s="257">
        <f>IFERROR(VLOOKUP(A53,'Cadastro Geral Campistas'!$A:$R,8,0),"")</f>
        <v/>
      </c>
      <c r="G53" s="209" t="inlineStr"/>
      <c r="H53" s="209" t="inlineStr"/>
    </row>
    <row r="54" ht="22" customHeight="1" s="121">
      <c r="A54" s="228" t="n">
        <v>52</v>
      </c>
      <c r="B54" s="258">
        <f>IFERROR(VLOOKUP(A54,'Cadastro Geral Campistas'!$A:$R,2,0),"")</f>
        <v/>
      </c>
      <c r="C54" s="258">
        <f>IFERROR(VLOOKUP(A54,'Cadastro Geral Campistas'!$A:$R,9,0),"")</f>
        <v/>
      </c>
      <c r="D54" s="226">
        <f>IFERROR(VLOOKUP(A54,'Cadastro Geral Campistas'!$A:$R,17,0),"")</f>
        <v/>
      </c>
      <c r="E54" s="213" t="inlineStr"/>
      <c r="F54" s="258">
        <f>IFERROR(VLOOKUP(A54,'Cadastro Geral Campistas'!$A:$R,8,0),"")</f>
        <v/>
      </c>
      <c r="G54" s="209" t="inlineStr"/>
      <c r="H54" s="209" t="inlineStr"/>
    </row>
    <row r="55" ht="22" customHeight="1" s="121">
      <c r="A55" s="224" t="n">
        <v>55</v>
      </c>
      <c r="B55" s="257">
        <f>IFERROR(VLOOKUP(A55,'Cadastro Geral Campistas'!$A:$R,2,0),"")</f>
        <v/>
      </c>
      <c r="C55" s="257">
        <f>IFERROR(VLOOKUP(A55,'Cadastro Geral Campistas'!$A:$R,9,0),"")</f>
        <v/>
      </c>
      <c r="D55" s="261">
        <f>IFERROR(VLOOKUP(A55,'Cadastro Geral Campistas'!$A:$R,17,0),"")</f>
        <v/>
      </c>
      <c r="E55" s="208" t="inlineStr"/>
      <c r="F55" s="257">
        <f>IFERROR(VLOOKUP(A55,'Cadastro Geral Campistas'!$A:$R,8,0),"")</f>
        <v/>
      </c>
      <c r="G55" s="209" t="inlineStr"/>
      <c r="H55" s="209" t="inlineStr"/>
    </row>
    <row r="56" ht="22" customHeight="1" s="121">
      <c r="A56" s="228" t="n">
        <v>53</v>
      </c>
      <c r="B56" s="258">
        <f>IFERROR(VLOOKUP(A56,'Cadastro Geral Campistas'!$A:$R,2,0),"")</f>
        <v/>
      </c>
      <c r="C56" s="258">
        <f>IFERROR(VLOOKUP(A56,'Cadastro Geral Campistas'!$A:$R,9,0),"")</f>
        <v/>
      </c>
      <c r="D56" s="263">
        <f>IFERROR(VLOOKUP(A56,'Cadastro Geral Campistas'!$A:$R,17,0),"")</f>
        <v/>
      </c>
      <c r="E56" s="213" t="inlineStr"/>
      <c r="F56" s="258">
        <f>IFERROR(VLOOKUP(A56,'Cadastro Geral Campistas'!$A:$R,8,0),"")</f>
        <v/>
      </c>
      <c r="G56" s="209" t="inlineStr"/>
      <c r="H56" s="209" t="inlineStr"/>
    </row>
    <row r="57" ht="22" customHeight="1" s="121">
      <c r="A57" s="224" t="n">
        <v>54</v>
      </c>
      <c r="B57" s="257">
        <f>IFERROR(VLOOKUP(A57,'Cadastro Geral Campistas'!$A:$R,2,0),"")</f>
        <v/>
      </c>
      <c r="C57" s="257">
        <f>IFERROR(VLOOKUP(A57,'Cadastro Geral Campistas'!$A:$R,9,0),"")</f>
        <v/>
      </c>
      <c r="D57" s="237">
        <f>IFERROR(VLOOKUP(A57,'Cadastro Geral Campistas'!$A:$R,17,0),"")</f>
        <v/>
      </c>
      <c r="E57" s="208" t="inlineStr"/>
      <c r="F57" s="257">
        <f>IFERROR(VLOOKUP(A57,'Cadastro Geral Campistas'!$A:$R,8,0),"")</f>
        <v/>
      </c>
      <c r="G57" s="209" t="inlineStr"/>
      <c r="H57" s="209" t="inlineStr"/>
    </row>
    <row r="58" ht="22" customHeight="1" s="121">
      <c r="A58" s="228" t="n">
        <v>56</v>
      </c>
      <c r="B58" s="258">
        <f>IFERROR(VLOOKUP(A58,'Cadastro Geral Campistas'!$A:$R,2,0),"")</f>
        <v/>
      </c>
      <c r="C58" s="258">
        <f>IFERROR(VLOOKUP(A58,'Cadastro Geral Campistas'!$A:$R,9,0),"")</f>
        <v/>
      </c>
      <c r="D58" s="251">
        <f>IFERROR(VLOOKUP(A58,'Cadastro Geral Campistas'!$A:$R,17,0),"")</f>
        <v/>
      </c>
      <c r="E58" s="213" t="inlineStr"/>
      <c r="F58" s="258">
        <f>IFERROR(VLOOKUP(A58,'Cadastro Geral Campistas'!$A:$R,8,0),"")</f>
        <v/>
      </c>
      <c r="G58" s="209" t="inlineStr"/>
      <c r="H58" s="209" t="inlineStr"/>
    </row>
    <row r="59" ht="22" customHeight="1" s="121">
      <c r="A59" s="224" t="n">
        <v>57</v>
      </c>
      <c r="B59" s="257">
        <f>IFERROR(VLOOKUP(A59,'Cadastro Geral Campistas'!$A:$R,2,0),"")</f>
        <v/>
      </c>
      <c r="C59" s="257">
        <f>IFERROR(VLOOKUP(A59,'Cadastro Geral Campistas'!$A:$R,9,0),"")</f>
        <v/>
      </c>
      <c r="D59" s="237">
        <f>IFERROR(VLOOKUP(A59,'Cadastro Geral Campistas'!$A:$R,17,0),"")</f>
        <v/>
      </c>
      <c r="E59" s="208" t="inlineStr"/>
      <c r="F59" s="257">
        <f>IFERROR(VLOOKUP(A59,'Cadastro Geral Campistas'!$A:$R,8,0),"")</f>
        <v/>
      </c>
      <c r="G59" s="209" t="inlineStr"/>
      <c r="H59" s="209" t="inlineStr"/>
    </row>
    <row r="60" ht="22" customHeight="1" s="121">
      <c r="A60" s="228" t="n">
        <v>58</v>
      </c>
      <c r="B60" s="258">
        <f>IFERROR(VLOOKUP(A60,'Cadastro Geral Campistas'!$A:$R,2,0),"")</f>
        <v/>
      </c>
      <c r="C60" s="258">
        <f>IFERROR(VLOOKUP(A60,'Cadastro Geral Campistas'!$A:$R,9,0),"")</f>
        <v/>
      </c>
      <c r="D60" s="251">
        <f>IFERROR(VLOOKUP(A60,'Cadastro Geral Campistas'!$A:$R,17,0),"")</f>
        <v/>
      </c>
      <c r="E60" s="213" t="inlineStr"/>
      <c r="F60" s="258">
        <f>IFERROR(VLOOKUP(A60,'Cadastro Geral Campistas'!$A:$R,8,0),"")</f>
        <v/>
      </c>
      <c r="G60" s="209" t="inlineStr"/>
      <c r="H60" s="209" t="inlineStr"/>
    </row>
    <row r="61" ht="22" customHeight="1" s="121">
      <c r="A61" s="224" t="n">
        <v>62</v>
      </c>
      <c r="B61" s="257">
        <f>IFERROR(VLOOKUP(A61,'Cadastro Geral Campistas'!$A:$R,2,0),"")</f>
        <v/>
      </c>
      <c r="C61" s="257">
        <f>IFERROR(VLOOKUP(A61,'Cadastro Geral Campistas'!$A:$R,9,0),"")</f>
        <v/>
      </c>
      <c r="D61" s="263">
        <f>IFERROR(VLOOKUP(A61,'Cadastro Geral Campistas'!$A:$R,17,0),"")</f>
        <v/>
      </c>
      <c r="E61" s="208" t="inlineStr"/>
      <c r="F61" s="257">
        <f>IFERROR(VLOOKUP(A61,'Cadastro Geral Campistas'!$A:$R,8,0),"")</f>
        <v/>
      </c>
      <c r="G61" s="209" t="inlineStr"/>
      <c r="H61" s="209" t="inlineStr"/>
    </row>
    <row r="62" ht="22" customHeight="1" s="121">
      <c r="A62" s="228" t="n">
        <v>59</v>
      </c>
      <c r="B62" s="258">
        <f>IFERROR(VLOOKUP(A62,'Cadastro Geral Campistas'!$A:$R,2,0),"")</f>
        <v/>
      </c>
      <c r="C62" s="258">
        <f>IFERROR(VLOOKUP(A62,'Cadastro Geral Campistas'!$A:$R,9,0),"")</f>
        <v/>
      </c>
      <c r="D62" s="235">
        <f>IFERROR(VLOOKUP(A62,'Cadastro Geral Campistas'!$A:$R,17,0),"")</f>
        <v/>
      </c>
      <c r="E62" s="213" t="inlineStr"/>
      <c r="F62" s="258">
        <f>IFERROR(VLOOKUP(A62,'Cadastro Geral Campistas'!$A:$R,8,0),"")</f>
        <v/>
      </c>
      <c r="G62" s="209" t="inlineStr"/>
      <c r="H62" s="209" t="inlineStr"/>
    </row>
    <row r="63" ht="22" customHeight="1" s="121">
      <c r="A63" s="224" t="n">
        <v>60</v>
      </c>
      <c r="B63" s="257">
        <f>IFERROR(VLOOKUP(A63,'Cadastro Geral Campistas'!$A:$R,2,0),"")</f>
        <v/>
      </c>
      <c r="C63" s="257">
        <f>IFERROR(VLOOKUP(A63,'Cadastro Geral Campistas'!$A:$R,9,0),"")</f>
        <v/>
      </c>
      <c r="D63" s="226">
        <f>IFERROR(VLOOKUP(A63,'Cadastro Geral Campistas'!$A:$R,17,0),"")</f>
        <v/>
      </c>
      <c r="E63" s="208" t="inlineStr"/>
      <c r="F63" s="257">
        <f>IFERROR(VLOOKUP(A63,'Cadastro Geral Campistas'!$A:$R,8,0),"")</f>
        <v/>
      </c>
      <c r="G63" s="209" t="inlineStr"/>
      <c r="H63" s="209" t="inlineStr"/>
    </row>
    <row r="64" ht="22" customHeight="1" s="121">
      <c r="A64" s="228" t="n">
        <v>61</v>
      </c>
      <c r="B64" s="258">
        <f>IFERROR(VLOOKUP(A64,'Cadastro Geral Campistas'!$A:$R,2,0),"")</f>
        <v/>
      </c>
      <c r="C64" s="258">
        <f>IFERROR(VLOOKUP(A64,'Cadastro Geral Campistas'!$A:$R,9,0),"")</f>
        <v/>
      </c>
      <c r="D64" s="251">
        <f>IFERROR(VLOOKUP(A64,'Cadastro Geral Campistas'!$A:$R,17,0),"")</f>
        <v/>
      </c>
      <c r="E64" s="213" t="inlineStr"/>
      <c r="F64" s="258">
        <f>IFERROR(VLOOKUP(A64,'Cadastro Geral Campistas'!$A:$R,8,0),"")</f>
        <v/>
      </c>
      <c r="G64" s="209" t="inlineStr"/>
      <c r="H64" s="209" t="inlineStr"/>
    </row>
    <row r="65" ht="22" customHeight="1" s="121">
      <c r="A65" s="224" t="n">
        <v>64</v>
      </c>
      <c r="B65" s="257">
        <f>IFERROR(VLOOKUP(A65,'Cadastro Geral Campistas'!$A:$R,2,0),"")</f>
        <v/>
      </c>
      <c r="C65" s="257">
        <f>IFERROR(VLOOKUP(A65,'Cadastro Geral Campistas'!$A:$R,9,0),"")</f>
        <v/>
      </c>
      <c r="D65" s="232">
        <f>IFERROR(VLOOKUP(A65,'Cadastro Geral Campistas'!$A:$R,17,0),"")</f>
        <v/>
      </c>
      <c r="E65" s="208" t="inlineStr"/>
      <c r="F65" s="257">
        <f>IFERROR(VLOOKUP(A65,'Cadastro Geral Campistas'!$A:$R,8,0),"")</f>
        <v/>
      </c>
      <c r="G65" s="209" t="inlineStr"/>
      <c r="H65" s="209" t="inlineStr"/>
    </row>
    <row r="66" ht="22" customHeight="1" s="121">
      <c r="A66" s="228" t="n">
        <v>65</v>
      </c>
      <c r="B66" s="258">
        <f>IFERROR(VLOOKUP(A66,'Cadastro Geral Campistas'!$A:$R,2,0),"")</f>
        <v/>
      </c>
      <c r="C66" s="258">
        <f>IFERROR(VLOOKUP(A66,'Cadastro Geral Campistas'!$A:$R,9,0),"")</f>
        <v/>
      </c>
      <c r="D66" s="263">
        <f>IFERROR(VLOOKUP(A66,'Cadastro Geral Campistas'!$A:$R,17,0),"")</f>
        <v/>
      </c>
      <c r="E66" s="213" t="inlineStr"/>
      <c r="F66" s="258">
        <f>IFERROR(VLOOKUP(A66,'Cadastro Geral Campistas'!$A:$R,8,0),"")</f>
        <v/>
      </c>
      <c r="G66" s="209" t="inlineStr"/>
      <c r="H66" s="209" t="inlineStr"/>
    </row>
    <row r="67" ht="22" customHeight="1" s="121">
      <c r="A67" s="224" t="n">
        <v>66</v>
      </c>
      <c r="B67" s="257">
        <f>IFERROR(VLOOKUP(A67,'Cadastro Geral Campistas'!$A:$R,2,0),"")</f>
        <v/>
      </c>
      <c r="C67" s="257">
        <f>IFERROR(VLOOKUP(A67,'Cadastro Geral Campistas'!$A:$R,9,0),"")</f>
        <v/>
      </c>
      <c r="D67" s="251">
        <f>IFERROR(VLOOKUP(A67,'Cadastro Geral Campistas'!$A:$R,17,0),"")</f>
        <v/>
      </c>
      <c r="E67" s="208" t="inlineStr"/>
      <c r="F67" s="257">
        <f>IFERROR(VLOOKUP(A67,'Cadastro Geral Campistas'!$A:$R,8,0),"")</f>
        <v/>
      </c>
      <c r="G67" s="209" t="inlineStr"/>
      <c r="H67" s="209" t="inlineStr"/>
    </row>
    <row r="68" ht="22" customHeight="1" s="121">
      <c r="A68" s="228" t="n">
        <v>67</v>
      </c>
      <c r="B68" s="258">
        <f>IFERROR(VLOOKUP(A68,'Cadastro Geral Campistas'!$A:$R,2,0),"")</f>
        <v/>
      </c>
      <c r="C68" s="258">
        <f>IFERROR(VLOOKUP(A68,'Cadastro Geral Campistas'!$A:$R,9,0),"")</f>
        <v/>
      </c>
      <c r="D68" s="251">
        <f>IFERROR(VLOOKUP(A68,'Cadastro Geral Campistas'!$A:$R,17,0),"")</f>
        <v/>
      </c>
      <c r="E68" s="213" t="inlineStr"/>
      <c r="F68" s="258">
        <f>IFERROR(VLOOKUP(A68,'Cadastro Geral Campistas'!$A:$R,8,0),"")</f>
        <v/>
      </c>
      <c r="G68" s="209" t="inlineStr"/>
      <c r="H68" s="209" t="inlineStr"/>
    </row>
    <row r="69" ht="22" customHeight="1" s="121">
      <c r="A69" s="224" t="n">
        <v>63</v>
      </c>
      <c r="B69" s="257">
        <f>IFERROR(VLOOKUP(A69,'Cadastro Geral Campistas'!$A:$R,2,0),"")</f>
        <v/>
      </c>
      <c r="C69" s="257">
        <f>IFERROR(VLOOKUP(A69,'Cadastro Geral Campistas'!$A:$R,9,0),"")</f>
        <v/>
      </c>
      <c r="D69" s="262">
        <f>IFERROR(VLOOKUP(A69,'Cadastro Geral Campistas'!$A:$R,17,0),"")</f>
        <v/>
      </c>
      <c r="E69" s="208" t="inlineStr"/>
      <c r="F69" s="257">
        <f>IFERROR(VLOOKUP(A69,'Cadastro Geral Campistas'!$A:$R,8,0),"")</f>
        <v/>
      </c>
      <c r="G69" s="209" t="inlineStr"/>
      <c r="H69" s="209" t="inlineStr"/>
    </row>
    <row r="70" ht="22" customHeight="1" s="121">
      <c r="A70" s="228" t="n">
        <v>69</v>
      </c>
      <c r="B70" s="258">
        <f>IFERROR(VLOOKUP(A70,'Cadastro Geral Campistas'!$A:$R,2,0),"")</f>
        <v/>
      </c>
      <c r="C70" s="258">
        <f>IFERROR(VLOOKUP(A70,'Cadastro Geral Campistas'!$A:$R,9,0),"")</f>
        <v/>
      </c>
      <c r="D70" s="261">
        <f>IFERROR(VLOOKUP(A70,'Cadastro Geral Campistas'!$A:$R,17,0),"")</f>
        <v/>
      </c>
      <c r="E70" s="213" t="inlineStr"/>
      <c r="F70" s="258">
        <f>IFERROR(VLOOKUP(A70,'Cadastro Geral Campistas'!$A:$R,8,0),"")</f>
        <v/>
      </c>
      <c r="G70" s="209" t="inlineStr"/>
      <c r="H70" s="209" t="inlineStr"/>
    </row>
    <row r="71" ht="22" customHeight="1" s="121">
      <c r="A71" s="224" t="n">
        <v>70</v>
      </c>
      <c r="B71" s="257">
        <f>IFERROR(VLOOKUP(A71,'Cadastro Geral Campistas'!$A:$R,2,0),"")</f>
        <v/>
      </c>
      <c r="C71" s="257">
        <f>IFERROR(VLOOKUP(A71,'Cadastro Geral Campistas'!$A:$R,9,0),"")</f>
        <v/>
      </c>
      <c r="D71" s="251">
        <f>IFERROR(VLOOKUP(A71,'Cadastro Geral Campistas'!$A:$R,17,0),"")</f>
        <v/>
      </c>
      <c r="E71" s="208" t="inlineStr"/>
      <c r="F71" s="257">
        <f>IFERROR(VLOOKUP(A71,'Cadastro Geral Campistas'!$A:$R,8,0),"")</f>
        <v/>
      </c>
      <c r="G71" s="209" t="inlineStr"/>
      <c r="H71" s="209" t="inlineStr"/>
    </row>
    <row r="72" ht="22" customHeight="1" s="121">
      <c r="A72" s="259" t="n">
        <v>71</v>
      </c>
      <c r="B72" s="260">
        <f>IFERROR(VLOOKUP(A72,'Cadastro Geral Campistas'!$A:$R,2,0),"")</f>
        <v/>
      </c>
      <c r="C72" s="260">
        <f>IFERROR(VLOOKUP(A72,'Cadastro Geral Campistas'!$A:$R,9,0),"")</f>
        <v/>
      </c>
      <c r="D72" s="226">
        <f>IFERROR(VLOOKUP(A72,'Cadastro Geral Campistas'!$A:$R,17,0),"")</f>
        <v/>
      </c>
      <c r="E72" s="254" t="inlineStr"/>
      <c r="F72" s="260">
        <f>IFERROR(VLOOKUP(A72,'Cadastro Geral Campistas'!$A:$R,8,0),"")</f>
        <v/>
      </c>
      <c r="G72" s="209" t="inlineStr"/>
      <c r="H72" s="209" t="inlineStr"/>
    </row>
    <row r="73" ht="22" customHeight="1" s="121">
      <c r="A73" s="224" t="n">
        <v>72</v>
      </c>
      <c r="B73" s="257">
        <f>IFERROR(VLOOKUP(A73,'Cadastro Geral Campistas'!$A:$R,2,0),"")</f>
        <v/>
      </c>
      <c r="C73" s="257">
        <f>IFERROR(VLOOKUP(A73,'Cadastro Geral Campistas'!$A:$R,9,0),"")</f>
        <v/>
      </c>
      <c r="D73" s="261">
        <f>IFERROR(VLOOKUP(A73,'Cadastro Geral Campistas'!$A:$R,17,0),"")</f>
        <v/>
      </c>
      <c r="E73" s="208" t="inlineStr"/>
      <c r="F73" s="257">
        <f>IFERROR(VLOOKUP(A73,'Cadastro Geral Campistas'!$A:$R,8,0),"")</f>
        <v/>
      </c>
      <c r="G73" s="209" t="inlineStr"/>
      <c r="H73" s="209" t="inlineStr"/>
    </row>
    <row r="74" ht="22" customHeight="1" s="121">
      <c r="A74" s="228" t="n">
        <v>73</v>
      </c>
      <c r="B74" s="258">
        <f>IFERROR(VLOOKUP(A74,'Cadastro Geral Campistas'!$A:$R,2,0),"")</f>
        <v/>
      </c>
      <c r="C74" s="258">
        <f>IFERROR(VLOOKUP(A74,'Cadastro Geral Campistas'!$A:$R,9,0),"")</f>
        <v/>
      </c>
      <c r="D74" s="232">
        <f>IFERROR(VLOOKUP(A74,'Cadastro Geral Campistas'!$A:$R,17,0),"")</f>
        <v/>
      </c>
      <c r="E74" s="213" t="inlineStr"/>
      <c r="F74" s="258">
        <f>IFERROR(VLOOKUP(A74,'Cadastro Geral Campistas'!$A:$R,8,0),"")</f>
        <v/>
      </c>
      <c r="G74" s="209" t="inlineStr"/>
      <c r="H74" s="209" t="inlineStr"/>
    </row>
    <row r="75" ht="22" customHeight="1" s="121">
      <c r="A75" s="224" t="n">
        <v>76</v>
      </c>
      <c r="B75" s="257">
        <f>IFERROR(VLOOKUP(A75,'Cadastro Geral Campistas'!$A:$R,2,0),"")</f>
        <v/>
      </c>
      <c r="C75" s="257">
        <f>IFERROR(VLOOKUP(A75,'Cadastro Geral Campistas'!$A:$R,9,0),"")</f>
        <v/>
      </c>
      <c r="D75" s="232">
        <f>IFERROR(VLOOKUP(A75,'Cadastro Geral Campistas'!$A:$R,17,0),"")</f>
        <v/>
      </c>
      <c r="E75" s="208" t="inlineStr"/>
      <c r="F75" s="257">
        <f>IFERROR(VLOOKUP(A75,'Cadastro Geral Campistas'!$A:$R,8,0),"")</f>
        <v/>
      </c>
      <c r="G75" s="209" t="inlineStr"/>
      <c r="H75" s="209" t="inlineStr"/>
    </row>
    <row r="76" ht="22" customHeight="1" s="121">
      <c r="A76" s="228" t="n">
        <v>80</v>
      </c>
      <c r="B76" s="258">
        <f>IFERROR(VLOOKUP(A76,'Cadastro Geral Campistas'!$A:$R,2,0),"")</f>
        <v/>
      </c>
      <c r="C76" s="258">
        <f>IFERROR(VLOOKUP(A76,'Cadastro Geral Campistas'!$A:$R,9,0),"")</f>
        <v/>
      </c>
      <c r="D76" s="232">
        <f>IFERROR(VLOOKUP(A76,'Cadastro Geral Campistas'!$A:$R,17,0),"")</f>
        <v/>
      </c>
      <c r="E76" s="213" t="inlineStr"/>
      <c r="F76" s="258">
        <f>IFERROR(VLOOKUP(A76,'Cadastro Geral Campistas'!$A:$R,8,0),"")</f>
        <v/>
      </c>
      <c r="G76" s="209" t="inlineStr"/>
      <c r="H76" s="209" t="inlineStr"/>
    </row>
    <row r="77" ht="22" customHeight="1" s="121">
      <c r="A77" s="224" t="n">
        <v>84</v>
      </c>
      <c r="B77" s="257">
        <f>IFERROR(VLOOKUP(A77,'Cadastro Geral Campistas'!$A:$R,2,0),"")</f>
        <v/>
      </c>
      <c r="C77" s="257">
        <f>IFERROR(VLOOKUP(A77,'Cadastro Geral Campistas'!$A:$R,9,0),"")</f>
        <v/>
      </c>
      <c r="D77" s="261">
        <f>IFERROR(VLOOKUP(A77,'Cadastro Geral Campistas'!$A:$R,17,0),"")</f>
        <v/>
      </c>
      <c r="E77" s="208" t="inlineStr"/>
      <c r="F77" s="257">
        <f>IFERROR(VLOOKUP(A77,'Cadastro Geral Campistas'!$A:$R,8,0),"")</f>
        <v/>
      </c>
      <c r="G77" s="209" t="inlineStr"/>
      <c r="H77" s="209" t="inlineStr"/>
    </row>
    <row r="78" ht="22" customHeight="1" s="121">
      <c r="A78" s="228" t="n">
        <v>74</v>
      </c>
      <c r="B78" s="258">
        <f>IFERROR(VLOOKUP(A78,'Cadastro Geral Campistas'!$A:$R,2,0),"")</f>
        <v/>
      </c>
      <c r="C78" s="258">
        <f>IFERROR(VLOOKUP(A78,'Cadastro Geral Campistas'!$A:$R,9,0),"")</f>
        <v/>
      </c>
      <c r="D78" s="235">
        <f>IFERROR(VLOOKUP(A78,'Cadastro Geral Campistas'!$A:$R,17,0),"")</f>
        <v/>
      </c>
      <c r="E78" s="213" t="inlineStr"/>
      <c r="F78" s="258">
        <f>IFERROR(VLOOKUP(A78,'Cadastro Geral Campistas'!$A:$R,8,0),"")</f>
        <v/>
      </c>
      <c r="G78" s="209" t="inlineStr"/>
      <c r="H78" s="209" t="inlineStr"/>
    </row>
    <row r="79" ht="22" customHeight="1" s="121">
      <c r="A79" s="224" t="n">
        <v>75</v>
      </c>
      <c r="B79" s="257">
        <f>IFERROR(VLOOKUP(A79,'Cadastro Geral Campistas'!$A:$R,2,0),"")</f>
        <v/>
      </c>
      <c r="C79" s="257">
        <f>IFERROR(VLOOKUP(A79,'Cadastro Geral Campistas'!$A:$R,9,0),"")</f>
        <v/>
      </c>
      <c r="D79" s="237">
        <f>IFERROR(VLOOKUP(A79,'Cadastro Geral Campistas'!$A:$R,17,0),"")</f>
        <v/>
      </c>
      <c r="E79" s="208" t="inlineStr"/>
      <c r="F79" s="257">
        <f>IFERROR(VLOOKUP(A79,'Cadastro Geral Campistas'!$A:$R,8,0),"")</f>
        <v/>
      </c>
      <c r="G79" s="209" t="inlineStr"/>
      <c r="H79" s="209" t="inlineStr"/>
    </row>
    <row r="80" ht="22" customHeight="1" s="121">
      <c r="A80" s="228" t="n">
        <v>77</v>
      </c>
      <c r="B80" s="258">
        <f>IFERROR(VLOOKUP(A80,'Cadastro Geral Campistas'!$A:$R,2,0),"")</f>
        <v/>
      </c>
      <c r="C80" s="258">
        <f>IFERROR(VLOOKUP(A80,'Cadastro Geral Campistas'!$A:$R,9,0),"")</f>
        <v/>
      </c>
      <c r="D80" s="251">
        <f>IFERROR(VLOOKUP(A80,'Cadastro Geral Campistas'!$A:$R,17,0),"")</f>
        <v/>
      </c>
      <c r="E80" s="213" t="inlineStr"/>
      <c r="F80" s="258">
        <f>IFERROR(VLOOKUP(A80,'Cadastro Geral Campistas'!$A:$R,8,0),"")</f>
        <v/>
      </c>
      <c r="G80" s="209" t="inlineStr"/>
      <c r="H80" s="209" t="inlineStr"/>
    </row>
    <row r="81" ht="22" customHeight="1" s="121">
      <c r="A81" s="224" t="n">
        <v>79</v>
      </c>
      <c r="B81" s="257">
        <f>IFERROR(VLOOKUP(A81,'Cadastro Geral Campistas'!$A:$R,2,0),"")</f>
        <v/>
      </c>
      <c r="C81" s="257">
        <f>IFERROR(VLOOKUP(A81,'Cadastro Geral Campistas'!$A:$R,9,0),"")</f>
        <v/>
      </c>
      <c r="D81" s="262">
        <f>IFERROR(VLOOKUP(A81,'Cadastro Geral Campistas'!$A:$R,17,0),"")</f>
        <v/>
      </c>
      <c r="E81" s="208" t="inlineStr"/>
      <c r="F81" s="257">
        <f>IFERROR(VLOOKUP(A81,'Cadastro Geral Campistas'!$A:$R,8,0),"")</f>
        <v/>
      </c>
      <c r="G81" s="209" t="inlineStr"/>
      <c r="H81" s="209" t="inlineStr"/>
    </row>
    <row r="82" ht="22" customHeight="1" s="121">
      <c r="A82" s="228" t="n">
        <v>81</v>
      </c>
      <c r="B82" s="258">
        <f>IFERROR(VLOOKUP(A82,'Cadastro Geral Campistas'!$A:$R,2,0),"")</f>
        <v/>
      </c>
      <c r="C82" s="258">
        <f>IFERROR(VLOOKUP(A82,'Cadastro Geral Campistas'!$A:$R,9,0),"")</f>
        <v/>
      </c>
      <c r="D82" s="231">
        <f>IFERROR(VLOOKUP(A82,'Cadastro Geral Campistas'!$A:$R,17,0),"")</f>
        <v/>
      </c>
      <c r="E82" s="213" t="inlineStr"/>
      <c r="F82" s="258">
        <f>IFERROR(VLOOKUP(A82,'Cadastro Geral Campistas'!$A:$R,8,0),"")</f>
        <v/>
      </c>
      <c r="G82" s="209" t="inlineStr"/>
      <c r="H82" s="209" t="inlineStr"/>
    </row>
    <row r="83" ht="22" customHeight="1" s="121">
      <c r="A83" s="259" t="n">
        <v>82</v>
      </c>
      <c r="B83" s="260">
        <f>IFERROR(VLOOKUP(A83,'Cadastro Geral Campistas'!$A:$R,2,0),"")</f>
        <v/>
      </c>
      <c r="C83" s="260">
        <f>IFERROR(VLOOKUP(A83,'Cadastro Geral Campistas'!$A:$R,9,0),"")</f>
        <v/>
      </c>
      <c r="D83" s="226">
        <f>IFERROR(VLOOKUP(A83,'Cadastro Geral Campistas'!$A:$R,17,0),"")</f>
        <v/>
      </c>
      <c r="E83" s="254" t="inlineStr"/>
      <c r="F83" s="260">
        <f>IFERROR(VLOOKUP(A83,'Cadastro Geral Campistas'!$A:$R,8,0),"")</f>
        <v/>
      </c>
      <c r="G83" s="209" t="inlineStr"/>
      <c r="H83" s="209" t="inlineStr"/>
    </row>
    <row r="84" ht="22" customHeight="1" s="121">
      <c r="A84" s="228" t="n">
        <v>85</v>
      </c>
      <c r="B84" s="258">
        <f>IFERROR(VLOOKUP(A84,'Cadastro Geral Campistas'!$A:$R,2,0),"")</f>
        <v/>
      </c>
      <c r="C84" s="258">
        <f>IFERROR(VLOOKUP(A84,'Cadastro Geral Campistas'!$A:$R,9,0),"")</f>
        <v/>
      </c>
      <c r="D84" s="261">
        <f>IFERROR(VLOOKUP(A84,'Cadastro Geral Campistas'!$A:$R,17,0),"")</f>
        <v/>
      </c>
      <c r="E84" s="213" t="inlineStr"/>
      <c r="F84" s="258">
        <f>IFERROR(VLOOKUP(A84,'Cadastro Geral Campistas'!$A:$R,8,0),"")</f>
        <v/>
      </c>
      <c r="G84" s="209" t="inlineStr"/>
      <c r="H84" s="209" t="inlineStr"/>
    </row>
    <row r="85" ht="22" customHeight="1" s="121">
      <c r="A85" s="224" t="n">
        <v>86</v>
      </c>
      <c r="B85" s="257">
        <f>IFERROR(VLOOKUP(A85,'Cadastro Geral Campistas'!$A:$R,2,0),"")</f>
        <v/>
      </c>
      <c r="C85" s="257">
        <f>IFERROR(VLOOKUP(A85,'Cadastro Geral Campistas'!$A:$R,9,0),"")</f>
        <v/>
      </c>
      <c r="D85" s="232">
        <f>IFERROR(VLOOKUP(A85,'Cadastro Geral Campistas'!$A:$R,17,0),"")</f>
        <v/>
      </c>
      <c r="E85" s="208" t="inlineStr"/>
      <c r="F85" s="257">
        <f>IFERROR(VLOOKUP(A85,'Cadastro Geral Campistas'!$A:$R,8,0),"")</f>
        <v/>
      </c>
      <c r="G85" s="209" t="inlineStr"/>
      <c r="H85" s="209" t="inlineStr"/>
    </row>
    <row r="86" ht="22" customHeight="1" s="121">
      <c r="A86" s="228" t="n">
        <v>87</v>
      </c>
      <c r="B86" s="258">
        <f>IFERROR(VLOOKUP(A86,'Cadastro Geral Campistas'!$A:$R,2,0),"")</f>
        <v/>
      </c>
      <c r="C86" s="258">
        <f>IFERROR(VLOOKUP(A86,'Cadastro Geral Campistas'!$A:$R,9,0),"")</f>
        <v/>
      </c>
      <c r="D86" s="231">
        <f>IFERROR(VLOOKUP(A86,'Cadastro Geral Campistas'!$A:$R,17,0),"")</f>
        <v/>
      </c>
      <c r="E86" s="213" t="inlineStr"/>
      <c r="F86" s="258">
        <f>IFERROR(VLOOKUP(A86,'Cadastro Geral Campistas'!$A:$R,8,0),"")</f>
        <v/>
      </c>
      <c r="G86" s="209" t="inlineStr"/>
      <c r="H86" s="209" t="inlineStr"/>
    </row>
    <row r="87" ht="22" customHeight="1" s="121">
      <c r="A87" s="224" t="n">
        <v>88</v>
      </c>
      <c r="B87" s="257">
        <f>IFERROR(VLOOKUP(A87,'Cadastro Geral Campistas'!$A:$R,2,0),"")</f>
        <v/>
      </c>
      <c r="C87" s="257">
        <f>IFERROR(VLOOKUP(A87,'Cadastro Geral Campistas'!$A:$R,9,0),"")</f>
        <v/>
      </c>
      <c r="D87" s="261">
        <f>IFERROR(VLOOKUP(A87,'Cadastro Geral Campistas'!$A:$R,17,0),"")</f>
        <v/>
      </c>
      <c r="E87" s="208" t="inlineStr"/>
      <c r="F87" s="257">
        <f>IFERROR(VLOOKUP(A87,'Cadastro Geral Campistas'!$A:$R,8,0),"")</f>
        <v/>
      </c>
      <c r="G87" s="209" t="inlineStr"/>
      <c r="H87" s="209" t="inlineStr"/>
    </row>
    <row r="88" ht="22" customHeight="1" s="121">
      <c r="A88" s="228" t="n">
        <v>89</v>
      </c>
      <c r="B88" s="258">
        <f>IFERROR(VLOOKUP(A88,'Cadastro Geral Campistas'!$A:$R,2,0),"")</f>
        <v/>
      </c>
      <c r="C88" s="258">
        <f>IFERROR(VLOOKUP(A88,'Cadastro Geral Campistas'!$A:$R,9,0),"")</f>
        <v/>
      </c>
      <c r="D88" s="251">
        <f>IFERROR(VLOOKUP(A88,'Cadastro Geral Campistas'!$A:$R,17,0),"")</f>
        <v/>
      </c>
      <c r="E88" s="213" t="inlineStr"/>
      <c r="F88" s="258">
        <f>IFERROR(VLOOKUP(A88,'Cadastro Geral Campistas'!$A:$R,8,0),"")</f>
        <v/>
      </c>
      <c r="G88" s="209" t="inlineStr"/>
      <c r="H88" s="209" t="inlineStr"/>
    </row>
    <row r="89" ht="22" customHeight="1" s="121">
      <c r="A89" s="224" t="n">
        <v>90</v>
      </c>
      <c r="B89" s="257">
        <f>IFERROR(VLOOKUP(A89,'Cadastro Geral Campistas'!$A:$R,2,0),"")</f>
        <v/>
      </c>
      <c r="C89" s="257">
        <f>IFERROR(VLOOKUP(A89,'Cadastro Geral Campistas'!$A:$R,9,0),"")</f>
        <v/>
      </c>
      <c r="D89" s="237">
        <f>IFERROR(VLOOKUP(A89,'Cadastro Geral Campistas'!$A:$R,17,0),"")</f>
        <v/>
      </c>
      <c r="E89" s="208" t="inlineStr"/>
      <c r="F89" s="257">
        <f>IFERROR(VLOOKUP(A89,'Cadastro Geral Campistas'!$A:$R,8,0),"")</f>
        <v/>
      </c>
      <c r="G89" s="209" t="inlineStr"/>
      <c r="H89" s="209" t="inlineStr"/>
    </row>
    <row r="90" ht="22" customHeight="1" s="121">
      <c r="A90" s="228" t="n">
        <v>97</v>
      </c>
      <c r="B90" s="258">
        <f>IFERROR(VLOOKUP(A90,'Cadastro Geral Campistas'!$A:$R,2,0),"")</f>
        <v/>
      </c>
      <c r="C90" s="258">
        <f>IFERROR(VLOOKUP(A90,'Cadastro Geral Campistas'!$A:$R,9,0),"")</f>
        <v/>
      </c>
      <c r="D90" s="237">
        <f>IFERROR(VLOOKUP(A90,'Cadastro Geral Campistas'!$A:$R,17,0),"")</f>
        <v/>
      </c>
      <c r="E90" s="213" t="inlineStr"/>
      <c r="F90" s="258">
        <f>IFERROR(VLOOKUP(A90,'Cadastro Geral Campistas'!$A:$R,8,0),"")</f>
        <v/>
      </c>
      <c r="G90" s="209" t="inlineStr"/>
      <c r="H90" s="209" t="inlineStr"/>
    </row>
    <row r="91" ht="22" customHeight="1" s="121">
      <c r="A91" s="224" t="n">
        <v>103</v>
      </c>
      <c r="B91" s="257">
        <f>IFERROR(VLOOKUP(A91,'Cadastro Geral Campistas'!$A:$R,2,0),"")</f>
        <v/>
      </c>
      <c r="C91" s="257">
        <f>IFERROR(VLOOKUP(A91,'Cadastro Geral Campistas'!$A:$R,9,0),"")</f>
        <v/>
      </c>
      <c r="D91" s="231">
        <f>IFERROR(VLOOKUP(A91,'Cadastro Geral Campistas'!$A:$R,17,0),"")</f>
        <v/>
      </c>
      <c r="E91" s="208" t="inlineStr"/>
      <c r="F91" s="257">
        <f>IFERROR(VLOOKUP(A91,'Cadastro Geral Campistas'!$A:$R,8,0),"")</f>
        <v/>
      </c>
      <c r="G91" s="209" t="inlineStr"/>
      <c r="H91" s="209" t="inlineStr"/>
    </row>
    <row r="92" ht="22" customHeight="1" s="121">
      <c r="A92" s="259" t="n">
        <v>91</v>
      </c>
      <c r="B92" s="260">
        <f>IFERROR(VLOOKUP(A92,'Cadastro Geral Campistas'!$A:$R,2,0),"")</f>
        <v/>
      </c>
      <c r="C92" s="260">
        <f>IFERROR(VLOOKUP(A92,'Cadastro Geral Campistas'!$A:$R,9,0),"")</f>
        <v/>
      </c>
      <c r="D92" s="263">
        <f>IFERROR(VLOOKUP(A92,'Cadastro Geral Campistas'!$A:$R,17,0),"")</f>
        <v/>
      </c>
      <c r="E92" s="254" t="inlineStr"/>
      <c r="F92" s="260">
        <f>IFERROR(VLOOKUP(A92,'Cadastro Geral Campistas'!$A:$R,8,0),"")</f>
        <v/>
      </c>
      <c r="G92" s="209" t="inlineStr"/>
      <c r="H92" s="209" t="inlineStr"/>
    </row>
    <row r="93" ht="22" customHeight="1" s="121">
      <c r="A93" s="259" t="n">
        <v>92</v>
      </c>
      <c r="B93" s="260">
        <f>IFERROR(VLOOKUP(A93,'Cadastro Geral Campistas'!$A:$R,2,0),"")</f>
        <v/>
      </c>
      <c r="C93" s="260">
        <f>IFERROR(VLOOKUP(A93,'Cadastro Geral Campistas'!$A:$R,9,0),"")</f>
        <v/>
      </c>
      <c r="D93" s="263">
        <f>IFERROR(VLOOKUP(A93,'Cadastro Geral Campistas'!$A:$R,17,0),"")</f>
        <v/>
      </c>
      <c r="E93" s="254" t="inlineStr"/>
      <c r="F93" s="260">
        <f>IFERROR(VLOOKUP(A93,'Cadastro Geral Campistas'!$A:$R,8,0),"")</f>
        <v/>
      </c>
      <c r="G93" s="209" t="inlineStr"/>
      <c r="H93" s="209" t="inlineStr"/>
    </row>
    <row r="94" ht="22" customHeight="1" s="121">
      <c r="A94" s="259" t="n">
        <v>93</v>
      </c>
      <c r="B94" s="260">
        <f>IFERROR(VLOOKUP(A94,'Cadastro Geral Campistas'!$A:$R,2,0),"")</f>
        <v/>
      </c>
      <c r="C94" s="260">
        <f>IFERROR(VLOOKUP(A94,'Cadastro Geral Campistas'!$A:$R,9,0),"")</f>
        <v/>
      </c>
      <c r="D94" s="232">
        <f>IFERROR(VLOOKUP(A94,'Cadastro Geral Campistas'!$A:$R,17,0),"")</f>
        <v/>
      </c>
      <c r="E94" s="254" t="inlineStr"/>
      <c r="F94" s="260">
        <f>IFERROR(VLOOKUP(A94,'Cadastro Geral Campistas'!$A:$R,8,0),"")</f>
        <v/>
      </c>
      <c r="G94" s="209" t="inlineStr"/>
      <c r="H94" s="209" t="inlineStr"/>
    </row>
    <row r="95" ht="22" customHeight="1" s="121">
      <c r="A95" s="224" t="n">
        <v>94</v>
      </c>
      <c r="B95" s="257">
        <f>IFERROR(VLOOKUP(A95,'Cadastro Geral Campistas'!$A:$R,2,0),"")</f>
        <v/>
      </c>
      <c r="C95" s="257">
        <f>IFERROR(VLOOKUP(A95,'Cadastro Geral Campistas'!$A:$R,9,0),"")</f>
        <v/>
      </c>
      <c r="D95" s="263">
        <f>IFERROR(VLOOKUP(A95,'Cadastro Geral Campistas'!$A:$R,17,0),"")</f>
        <v/>
      </c>
      <c r="E95" s="208" t="inlineStr"/>
      <c r="F95" s="257">
        <f>IFERROR(VLOOKUP(A95,'Cadastro Geral Campistas'!$A:$R,8,0),"")</f>
        <v/>
      </c>
      <c r="G95" s="209" t="inlineStr"/>
      <c r="H95" s="209" t="inlineStr"/>
    </row>
    <row r="96" ht="22" customHeight="1" s="121">
      <c r="A96" s="228" t="n">
        <v>95</v>
      </c>
      <c r="B96" s="258">
        <f>IFERROR(VLOOKUP(A96,'Cadastro Geral Campistas'!$A:$R,2,0),"")</f>
        <v/>
      </c>
      <c r="C96" s="258">
        <f>IFERROR(VLOOKUP(A96,'Cadastro Geral Campistas'!$A:$R,9,0),"")</f>
        <v/>
      </c>
      <c r="D96" s="263">
        <f>IFERROR(VLOOKUP(A96,'Cadastro Geral Campistas'!$A:$R,17,0),"")</f>
        <v/>
      </c>
      <c r="E96" s="213" t="inlineStr"/>
      <c r="F96" s="258">
        <f>IFERROR(VLOOKUP(A96,'Cadastro Geral Campistas'!$A:$R,8,0),"")</f>
        <v/>
      </c>
      <c r="G96" s="209" t="inlineStr"/>
      <c r="H96" s="209" t="inlineStr"/>
    </row>
    <row r="97" ht="22" customHeight="1" s="121">
      <c r="A97" s="224" t="n">
        <v>96</v>
      </c>
      <c r="B97" s="257">
        <f>IFERROR(VLOOKUP(A97,'Cadastro Geral Campistas'!$A:$R,2,0),"")</f>
        <v/>
      </c>
      <c r="C97" s="257">
        <f>IFERROR(VLOOKUP(A97,'Cadastro Geral Campistas'!$A:$R,9,0),"")</f>
        <v/>
      </c>
      <c r="D97" s="263">
        <f>IFERROR(VLOOKUP(A97,'Cadastro Geral Campistas'!$A:$R,17,0),"")</f>
        <v/>
      </c>
      <c r="E97" s="208" t="inlineStr"/>
      <c r="F97" s="257">
        <f>IFERROR(VLOOKUP(A97,'Cadastro Geral Campistas'!$A:$R,8,0),"")</f>
        <v/>
      </c>
      <c r="G97" s="209" t="inlineStr"/>
      <c r="H97" s="209" t="inlineStr"/>
    </row>
    <row r="98" ht="22" customHeight="1" s="121">
      <c r="A98" s="228" t="n">
        <v>142</v>
      </c>
      <c r="B98" s="258">
        <f>IFERROR(VLOOKUP(A98,'Cadastro Geral Campistas'!$A:$R,2,0),"")</f>
        <v/>
      </c>
      <c r="C98" s="258">
        <f>IFERROR(VLOOKUP(A98,'Cadastro Geral Campistas'!$A:$R,9,0),"")</f>
        <v/>
      </c>
      <c r="D98" s="263">
        <f>IFERROR(VLOOKUP(A98,'Cadastro Geral Campistas'!$A:$R,17,0),"")</f>
        <v/>
      </c>
      <c r="E98" s="213" t="inlineStr"/>
      <c r="F98" s="258">
        <f>IFERROR(VLOOKUP(A98,'Cadastro Geral Campistas'!$A:$R,8,0),"")</f>
        <v/>
      </c>
      <c r="G98" s="209" t="inlineStr"/>
      <c r="H98" s="209" t="inlineStr"/>
    </row>
    <row r="99" ht="22" customHeight="1" s="121">
      <c r="A99" s="224" t="n">
        <v>98</v>
      </c>
      <c r="B99" s="257">
        <f>IFERROR(VLOOKUP(A99,'Cadastro Geral Campistas'!$A:$R,2,0),"")</f>
        <v/>
      </c>
      <c r="C99" s="257">
        <f>IFERROR(VLOOKUP(A99,'Cadastro Geral Campistas'!$A:$R,9,0),"")</f>
        <v/>
      </c>
      <c r="D99" s="237">
        <f>IFERROR(VLOOKUP(A99,'Cadastro Geral Campistas'!$A:$R,17,0),"")</f>
        <v/>
      </c>
      <c r="E99" s="208" t="inlineStr"/>
      <c r="F99" s="257">
        <f>IFERROR(VLOOKUP(A99,'Cadastro Geral Campistas'!$A:$R,8,0),"")</f>
        <v/>
      </c>
      <c r="G99" s="209" t="inlineStr"/>
      <c r="H99" s="209" t="inlineStr"/>
    </row>
    <row r="100" ht="22" customHeight="1" s="121">
      <c r="A100" s="228" t="n">
        <v>99</v>
      </c>
      <c r="B100" s="258">
        <f>IFERROR(VLOOKUP(A100,'Cadastro Geral Campistas'!$A:$R,2,0),"")</f>
        <v/>
      </c>
      <c r="C100" s="258">
        <f>IFERROR(VLOOKUP(A100,'Cadastro Geral Campistas'!$A:$R,9,0),"")</f>
        <v/>
      </c>
      <c r="D100" s="261">
        <f>IFERROR(VLOOKUP(A100,'Cadastro Geral Campistas'!$A:$R,17,0),"")</f>
        <v/>
      </c>
      <c r="E100" s="213" t="inlineStr"/>
      <c r="F100" s="258">
        <f>IFERROR(VLOOKUP(A100,'Cadastro Geral Campistas'!$A:$R,8,0),"")</f>
        <v/>
      </c>
      <c r="G100" s="209" t="inlineStr"/>
      <c r="H100" s="209" t="inlineStr"/>
    </row>
    <row r="101" ht="22" customHeight="1" s="121">
      <c r="A101" s="259" t="n">
        <v>100</v>
      </c>
      <c r="B101" s="260">
        <f>IFERROR(VLOOKUP(A101,'Cadastro Geral Campistas'!$A:$R,2,0),"")</f>
        <v/>
      </c>
      <c r="C101" s="260">
        <f>IFERROR(VLOOKUP(A101,'Cadastro Geral Campistas'!$A:$R,9,0),"")</f>
        <v/>
      </c>
      <c r="D101" s="251">
        <f>IFERROR(VLOOKUP(A101,'Cadastro Geral Campistas'!$A:$R,17,0),"")</f>
        <v/>
      </c>
      <c r="E101" s="254" t="inlineStr"/>
      <c r="F101" s="260">
        <f>IFERROR(VLOOKUP(A101,'Cadastro Geral Campistas'!$A:$R,8,0),"")</f>
        <v/>
      </c>
      <c r="G101" s="209" t="inlineStr"/>
      <c r="H101" s="209" t="inlineStr"/>
    </row>
    <row r="102" ht="22" customHeight="1" s="121">
      <c r="A102" s="228" t="n">
        <v>102</v>
      </c>
      <c r="B102" s="258">
        <f>IFERROR(VLOOKUP(A102,'Cadastro Geral Campistas'!$A:$R,2,0),"")</f>
        <v/>
      </c>
      <c r="C102" s="258">
        <f>IFERROR(VLOOKUP(A102,'Cadastro Geral Campistas'!$A:$R,9,0),"")</f>
        <v/>
      </c>
      <c r="D102" s="262">
        <f>IFERROR(VLOOKUP(A102,'Cadastro Geral Campistas'!$A:$R,17,0),"")</f>
        <v/>
      </c>
      <c r="E102" s="213" t="inlineStr"/>
      <c r="F102" s="258">
        <f>IFERROR(VLOOKUP(A102,'Cadastro Geral Campistas'!$A:$R,8,0),"")</f>
        <v/>
      </c>
      <c r="G102" s="209" t="inlineStr"/>
      <c r="H102" s="209" t="inlineStr"/>
    </row>
    <row r="103" ht="22" customHeight="1" s="121">
      <c r="A103" s="224" t="n">
        <v>104</v>
      </c>
      <c r="B103" s="257">
        <f>IFERROR(VLOOKUP(A103,'Cadastro Geral Campistas'!$A:$R,2,0),"")</f>
        <v/>
      </c>
      <c r="C103" s="257">
        <f>IFERROR(VLOOKUP(A103,'Cadastro Geral Campistas'!$A:$R,9,0),"")</f>
        <v/>
      </c>
      <c r="D103" s="232">
        <f>IFERROR(VLOOKUP(A103,'Cadastro Geral Campistas'!$A:$R,17,0),"")</f>
        <v/>
      </c>
      <c r="E103" s="208" t="inlineStr"/>
      <c r="F103" s="257">
        <f>IFERROR(VLOOKUP(A103,'Cadastro Geral Campistas'!$A:$R,8,0),"")</f>
        <v/>
      </c>
      <c r="G103" s="209" t="inlineStr"/>
      <c r="H103" s="209" t="inlineStr"/>
    </row>
    <row r="104" ht="22" customHeight="1" s="121">
      <c r="A104" s="259" t="n">
        <v>105</v>
      </c>
      <c r="B104" s="260">
        <f>IFERROR(VLOOKUP(A104,'Cadastro Geral Campistas'!$A:$R,2,0),"")</f>
        <v/>
      </c>
      <c r="C104" s="260">
        <f>IFERROR(VLOOKUP(A104,'Cadastro Geral Campistas'!$A:$R,9,0),"")</f>
        <v/>
      </c>
      <c r="D104" s="263">
        <f>IFERROR(VLOOKUP(A104,'Cadastro Geral Campistas'!$A:$R,17,0),"")</f>
        <v/>
      </c>
      <c r="E104" s="254" t="inlineStr"/>
      <c r="F104" s="260">
        <f>IFERROR(VLOOKUP(A104,'Cadastro Geral Campistas'!$A:$R,8,0),"")</f>
        <v/>
      </c>
      <c r="G104" s="209" t="inlineStr"/>
      <c r="H104" s="209" t="inlineStr"/>
    </row>
    <row r="105" ht="22" customHeight="1" s="121">
      <c r="A105" s="224" t="n">
        <v>106</v>
      </c>
      <c r="B105" s="257">
        <f>IFERROR(VLOOKUP(A105,'Cadastro Geral Campistas'!$A:$R,2,0),"")</f>
        <v/>
      </c>
      <c r="C105" s="257">
        <f>IFERROR(VLOOKUP(A105,'Cadastro Geral Campistas'!$A:$R,9,0),"")</f>
        <v/>
      </c>
      <c r="D105" s="262">
        <f>IFERROR(VLOOKUP(A105,'Cadastro Geral Campistas'!$A:$R,17,0),"")</f>
        <v/>
      </c>
      <c r="E105" s="208" t="inlineStr"/>
      <c r="F105" s="257">
        <f>IFERROR(VLOOKUP(A105,'Cadastro Geral Campistas'!$A:$R,8,0),"")</f>
        <v/>
      </c>
      <c r="G105" s="209" t="inlineStr"/>
      <c r="H105" s="209" t="inlineStr"/>
    </row>
    <row r="106" ht="22" customHeight="1" s="121">
      <c r="A106" s="228" t="n">
        <v>107</v>
      </c>
      <c r="B106" s="258">
        <f>IFERROR(VLOOKUP(A106,'Cadastro Geral Campistas'!$A:$R,2,0),"")</f>
        <v/>
      </c>
      <c r="C106" s="258">
        <f>IFERROR(VLOOKUP(A106,'Cadastro Geral Campistas'!$A:$R,9,0),"")</f>
        <v/>
      </c>
      <c r="D106" s="231">
        <f>IFERROR(VLOOKUP(A106,'Cadastro Geral Campistas'!$A:$R,17,0),"")</f>
        <v/>
      </c>
      <c r="E106" s="213" t="inlineStr"/>
      <c r="F106" s="258">
        <f>IFERROR(VLOOKUP(A106,'Cadastro Geral Campistas'!$A:$R,8,0),"")</f>
        <v/>
      </c>
      <c r="G106" s="209" t="inlineStr"/>
      <c r="H106" s="209" t="inlineStr"/>
    </row>
    <row r="107" ht="22" customHeight="1" s="121">
      <c r="A107" s="224" t="n">
        <v>108</v>
      </c>
      <c r="B107" s="257">
        <f>IFERROR(VLOOKUP(A107,'Cadastro Geral Campistas'!$A:$R,2,0),"")</f>
        <v/>
      </c>
      <c r="C107" s="257">
        <f>IFERROR(VLOOKUP(A107,'Cadastro Geral Campistas'!$A:$R,9,0),"")</f>
        <v/>
      </c>
      <c r="D107" s="231">
        <f>IFERROR(VLOOKUP(A107,'Cadastro Geral Campistas'!$A:$R,17,0),"")</f>
        <v/>
      </c>
      <c r="E107" s="208" t="inlineStr"/>
      <c r="F107" s="257">
        <f>IFERROR(VLOOKUP(A107,'Cadastro Geral Campistas'!$A:$R,8,0),"")</f>
        <v/>
      </c>
      <c r="G107" s="209" t="inlineStr"/>
      <c r="H107" s="209" t="inlineStr"/>
    </row>
    <row r="108" ht="22" customHeight="1" s="121">
      <c r="A108" s="228" t="n">
        <v>109</v>
      </c>
      <c r="B108" s="258">
        <f>IFERROR(VLOOKUP(A108,'Cadastro Geral Campistas'!$A:$R,2,0),"")</f>
        <v/>
      </c>
      <c r="C108" s="258">
        <f>IFERROR(VLOOKUP(A108,'Cadastro Geral Campistas'!$A:$R,9,0),"")</f>
        <v/>
      </c>
      <c r="D108" s="232">
        <f>IFERROR(VLOOKUP(A108,'Cadastro Geral Campistas'!$A:$R,17,0),"")</f>
        <v/>
      </c>
      <c r="E108" s="213" t="inlineStr"/>
      <c r="F108" s="258">
        <f>IFERROR(VLOOKUP(A108,'Cadastro Geral Campistas'!$A:$R,8,0),"")</f>
        <v/>
      </c>
      <c r="G108" s="209" t="inlineStr"/>
      <c r="H108" s="209" t="inlineStr"/>
    </row>
    <row r="109" ht="22" customHeight="1" s="121">
      <c r="A109" s="224" t="n">
        <v>110</v>
      </c>
      <c r="B109" s="257">
        <f>IFERROR(VLOOKUP(A109,'Cadastro Geral Campistas'!$A:$R,2,0),"")</f>
        <v/>
      </c>
      <c r="C109" s="257">
        <f>IFERROR(VLOOKUP(A109,'Cadastro Geral Campistas'!$A:$R,9,0),"")</f>
        <v/>
      </c>
      <c r="D109" s="263">
        <f>IFERROR(VLOOKUP(A109,'Cadastro Geral Campistas'!$A:$R,17,0),"")</f>
        <v/>
      </c>
      <c r="E109" s="208" t="inlineStr"/>
      <c r="F109" s="257">
        <f>IFERROR(VLOOKUP(A109,'Cadastro Geral Campistas'!$A:$R,8,0),"")</f>
        <v/>
      </c>
      <c r="G109" s="209" t="inlineStr"/>
      <c r="H109" s="209" t="inlineStr"/>
    </row>
    <row r="110" ht="22" customHeight="1" s="121">
      <c r="A110" s="228" t="n">
        <v>112</v>
      </c>
      <c r="B110" s="258">
        <f>IFERROR(VLOOKUP(A110,'Cadastro Geral Campistas'!$A:$R,2,0),"")</f>
        <v/>
      </c>
      <c r="C110" s="258">
        <f>IFERROR(VLOOKUP(A110,'Cadastro Geral Campistas'!$A:$R,9,0),"")</f>
        <v/>
      </c>
      <c r="D110" s="235">
        <f>IFERROR(VLOOKUP(A110,'Cadastro Geral Campistas'!$A:$R,17,0),"")</f>
        <v/>
      </c>
      <c r="E110" s="213" t="inlineStr"/>
      <c r="F110" s="258">
        <f>IFERROR(VLOOKUP(A110,'Cadastro Geral Campistas'!$A:$R,8,0),"")</f>
        <v/>
      </c>
      <c r="G110" s="209" t="inlineStr"/>
      <c r="H110" s="209" t="inlineStr"/>
    </row>
    <row r="111" ht="22" customHeight="1" s="121">
      <c r="A111" s="224" t="n">
        <v>118</v>
      </c>
      <c r="B111" s="257">
        <f>IFERROR(VLOOKUP(A111,'Cadastro Geral Campistas'!$A:$R,2,0),"")</f>
        <v/>
      </c>
      <c r="C111" s="257">
        <f>IFERROR(VLOOKUP(A111,'Cadastro Geral Campistas'!$A:$R,9,0),"")</f>
        <v/>
      </c>
      <c r="D111" s="231">
        <f>IFERROR(VLOOKUP(A111,'Cadastro Geral Campistas'!$A:$R,17,0),"")</f>
        <v/>
      </c>
      <c r="E111" s="208" t="inlineStr"/>
      <c r="F111" s="257">
        <f>IFERROR(VLOOKUP(A111,'Cadastro Geral Campistas'!$A:$R,8,0),"")</f>
        <v/>
      </c>
      <c r="G111" s="209" t="inlineStr"/>
      <c r="H111" s="209" t="inlineStr"/>
    </row>
    <row r="112" ht="22" customHeight="1" s="121">
      <c r="A112" s="228" t="n">
        <v>111</v>
      </c>
      <c r="B112" s="258">
        <f>IFERROR(VLOOKUP(A112,'Cadastro Geral Campistas'!$A:$R,2,0),"")</f>
        <v/>
      </c>
      <c r="C112" s="258">
        <f>IFERROR(VLOOKUP(A112,'Cadastro Geral Campistas'!$A:$R,9,0),"")</f>
        <v/>
      </c>
      <c r="D112" s="232">
        <f>IFERROR(VLOOKUP(A112,'Cadastro Geral Campistas'!$A:$R,17,0),"")</f>
        <v/>
      </c>
      <c r="E112" s="213" t="inlineStr"/>
      <c r="F112" s="258">
        <f>IFERROR(VLOOKUP(A112,'Cadastro Geral Campistas'!$A:$R,8,0),"")</f>
        <v/>
      </c>
      <c r="G112" s="209" t="inlineStr"/>
      <c r="H112" s="209" t="inlineStr"/>
    </row>
    <row r="113" ht="22" customHeight="1" s="121">
      <c r="A113" s="224" t="n">
        <v>114</v>
      </c>
      <c r="B113" s="257">
        <f>IFERROR(VLOOKUP(A113,'Cadastro Geral Campistas'!$A:$R,2,0),"")</f>
        <v/>
      </c>
      <c r="C113" s="257">
        <f>IFERROR(VLOOKUP(A113,'Cadastro Geral Campistas'!$A:$R,9,0),"")</f>
        <v/>
      </c>
      <c r="D113" s="235">
        <f>IFERROR(VLOOKUP(A113,'Cadastro Geral Campistas'!$A:$R,17,0),"")</f>
        <v/>
      </c>
      <c r="E113" s="208" t="inlineStr"/>
      <c r="F113" s="257">
        <f>IFERROR(VLOOKUP(A113,'Cadastro Geral Campistas'!$A:$R,8,0),"")</f>
        <v/>
      </c>
      <c r="G113" s="209" t="inlineStr"/>
      <c r="H113" s="209" t="inlineStr"/>
    </row>
    <row r="114" ht="22" customHeight="1" s="121">
      <c r="A114" s="228" t="n">
        <v>115</v>
      </c>
      <c r="B114" s="258">
        <f>IFERROR(VLOOKUP(A114,'Cadastro Geral Campistas'!$A:$R,2,0),"")</f>
        <v/>
      </c>
      <c r="C114" s="258">
        <f>IFERROR(VLOOKUP(A114,'Cadastro Geral Campistas'!$A:$R,9,0),"")</f>
        <v/>
      </c>
      <c r="D114" s="226">
        <f>IFERROR(VLOOKUP(A114,'Cadastro Geral Campistas'!$A:$R,17,0),"")</f>
        <v/>
      </c>
      <c r="E114" s="213" t="inlineStr"/>
      <c r="F114" s="258">
        <f>IFERROR(VLOOKUP(A114,'Cadastro Geral Campistas'!$A:$R,8,0),"")</f>
        <v/>
      </c>
      <c r="G114" s="209" t="inlineStr"/>
      <c r="H114" s="209" t="inlineStr"/>
    </row>
    <row r="115" ht="22" customHeight="1" s="121">
      <c r="A115" s="224" t="n">
        <v>116</v>
      </c>
      <c r="B115" s="257">
        <f>IFERROR(VLOOKUP(A115,'Cadastro Geral Campistas'!$A:$R,2,0),"")</f>
        <v/>
      </c>
      <c r="C115" s="257">
        <f>IFERROR(VLOOKUP(A115,'Cadastro Geral Campistas'!$A:$R,9,0),"")</f>
        <v/>
      </c>
      <c r="D115" s="262">
        <f>IFERROR(VLOOKUP(A115,'Cadastro Geral Campistas'!$A:$R,17,0),"")</f>
        <v/>
      </c>
      <c r="E115" s="208" t="inlineStr"/>
      <c r="F115" s="257">
        <f>IFERROR(VLOOKUP(A115,'Cadastro Geral Campistas'!$A:$R,8,0),"")</f>
        <v/>
      </c>
      <c r="G115" s="209" t="inlineStr"/>
      <c r="H115" s="209" t="inlineStr"/>
    </row>
    <row r="116" ht="22" customHeight="1" s="121">
      <c r="A116" s="228" t="n">
        <v>113</v>
      </c>
      <c r="B116" s="258">
        <f>IFERROR(VLOOKUP(A116,'Cadastro Geral Campistas'!$A:$R,2,0),"")</f>
        <v/>
      </c>
      <c r="C116" s="258">
        <f>IFERROR(VLOOKUP(A116,'Cadastro Geral Campistas'!$A:$R,9,0),"")</f>
        <v/>
      </c>
      <c r="D116" s="262">
        <f>IFERROR(VLOOKUP(A116,'Cadastro Geral Campistas'!$A:$R,17,0),"")</f>
        <v/>
      </c>
      <c r="E116" s="213" t="inlineStr"/>
      <c r="F116" s="258">
        <f>IFERROR(VLOOKUP(A116,'Cadastro Geral Campistas'!$A:$R,8,0),"")</f>
        <v/>
      </c>
      <c r="G116" s="209" t="inlineStr"/>
      <c r="H116" s="209" t="inlineStr"/>
    </row>
    <row r="117" ht="22" customHeight="1" s="121">
      <c r="A117" s="224" t="n">
        <v>117</v>
      </c>
      <c r="B117" s="257">
        <f>IFERROR(VLOOKUP(A117,'Cadastro Geral Campistas'!$A:$R,2,0),"")</f>
        <v/>
      </c>
      <c r="C117" s="257">
        <f>IFERROR(VLOOKUP(A117,'Cadastro Geral Campistas'!$A:$R,9,0),"")</f>
        <v/>
      </c>
      <c r="D117" s="235">
        <f>IFERROR(VLOOKUP(A117,'Cadastro Geral Campistas'!$A:$R,17,0),"")</f>
        <v/>
      </c>
      <c r="E117" s="208" t="inlineStr"/>
      <c r="F117" s="257">
        <f>IFERROR(VLOOKUP(A117,'Cadastro Geral Campistas'!$A:$R,8,0),"")</f>
        <v/>
      </c>
      <c r="G117" s="209" t="inlineStr"/>
      <c r="H117" s="209" t="inlineStr"/>
    </row>
    <row r="118" ht="22" customHeight="1" s="121">
      <c r="A118" s="259" t="n">
        <v>119</v>
      </c>
      <c r="B118" s="260">
        <f>IFERROR(VLOOKUP(A118,'Cadastro Geral Campistas'!$A:$R,2,0),"")</f>
        <v/>
      </c>
      <c r="C118" s="260">
        <f>IFERROR(VLOOKUP(A118,'Cadastro Geral Campistas'!$A:$R,9,0),"")</f>
        <v/>
      </c>
      <c r="D118" s="231">
        <f>IFERROR(VLOOKUP(A118,'Cadastro Geral Campistas'!$A:$R,17,0),"")</f>
        <v/>
      </c>
      <c r="E118" s="254" t="inlineStr"/>
      <c r="F118" s="260">
        <f>IFERROR(VLOOKUP(A118,'Cadastro Geral Campistas'!$A:$R,8,0),"")</f>
        <v/>
      </c>
      <c r="G118" s="209" t="inlineStr"/>
      <c r="H118" s="209" t="inlineStr"/>
    </row>
    <row r="119" ht="22" customHeight="1" s="121">
      <c r="A119" s="224" t="n">
        <v>120</v>
      </c>
      <c r="B119" s="257">
        <f>IFERROR(VLOOKUP(A119,'Cadastro Geral Campistas'!$A:$R,2,0),"")</f>
        <v/>
      </c>
      <c r="C119" s="257">
        <f>IFERROR(VLOOKUP(A119,'Cadastro Geral Campistas'!$A:$R,9,0),"")</f>
        <v/>
      </c>
      <c r="D119" s="261">
        <f>IFERROR(VLOOKUP(A119,'Cadastro Geral Campistas'!$A:$R,17,0),"")</f>
        <v/>
      </c>
      <c r="E119" s="208" t="inlineStr"/>
      <c r="F119" s="257">
        <f>IFERROR(VLOOKUP(A119,'Cadastro Geral Campistas'!$A:$R,8,0),"")</f>
        <v/>
      </c>
      <c r="G119" s="209" t="inlineStr"/>
      <c r="H119" s="209" t="inlineStr"/>
    </row>
    <row r="120" ht="22" customHeight="1" s="121">
      <c r="A120" s="228" t="n">
        <v>121</v>
      </c>
      <c r="B120" s="258">
        <f>IFERROR(VLOOKUP(A120,'Cadastro Geral Campistas'!$A:$R,2,0),"")</f>
        <v/>
      </c>
      <c r="C120" s="258">
        <f>IFERROR(VLOOKUP(A120,'Cadastro Geral Campistas'!$A:$R,9,0),"")</f>
        <v/>
      </c>
      <c r="D120" s="262">
        <f>IFERROR(VLOOKUP(A120,'Cadastro Geral Campistas'!$A:$R,17,0),"")</f>
        <v/>
      </c>
      <c r="E120" s="213" t="inlineStr"/>
      <c r="F120" s="258">
        <f>IFERROR(VLOOKUP(A120,'Cadastro Geral Campistas'!$A:$R,8,0),"")</f>
        <v/>
      </c>
      <c r="G120" s="209" t="inlineStr"/>
      <c r="H120" s="209" t="inlineStr"/>
    </row>
    <row r="121" ht="22" customHeight="1" s="121">
      <c r="A121" s="224" t="n">
        <v>122</v>
      </c>
      <c r="B121" s="257">
        <f>IFERROR(VLOOKUP(A121,'Cadastro Geral Campistas'!$A:$R,2,0),"")</f>
        <v/>
      </c>
      <c r="C121" s="257">
        <f>IFERROR(VLOOKUP(A121,'Cadastro Geral Campistas'!$A:$R,9,0),"")</f>
        <v/>
      </c>
      <c r="D121" s="237">
        <f>IFERROR(VLOOKUP(A121,'Cadastro Geral Campistas'!$A:$R,17,0),"")</f>
        <v/>
      </c>
      <c r="E121" s="208" t="inlineStr"/>
      <c r="F121" s="257">
        <f>IFERROR(VLOOKUP(A121,'Cadastro Geral Campistas'!$A:$R,8,0),"")</f>
        <v/>
      </c>
      <c r="G121" s="209" t="inlineStr"/>
      <c r="H121" s="209" t="inlineStr"/>
    </row>
    <row r="122" ht="22" customHeight="1" s="121">
      <c r="A122" s="228" t="n">
        <v>123</v>
      </c>
      <c r="B122" s="258">
        <f>IFERROR(VLOOKUP(A122,'Cadastro Geral Campistas'!$A:$R,2,0),"")</f>
        <v/>
      </c>
      <c r="C122" s="258">
        <f>IFERROR(VLOOKUP(A122,'Cadastro Geral Campistas'!$A:$R,9,0),"")</f>
        <v/>
      </c>
      <c r="D122" s="226">
        <f>IFERROR(VLOOKUP(A122,'Cadastro Geral Campistas'!$A:$R,17,0),"")</f>
        <v/>
      </c>
      <c r="E122" s="213" t="inlineStr"/>
      <c r="F122" s="258">
        <f>IFERROR(VLOOKUP(A122,'Cadastro Geral Campistas'!$A:$R,8,0),"")</f>
        <v/>
      </c>
      <c r="G122" s="209" t="inlineStr"/>
      <c r="H122" s="209" t="inlineStr"/>
    </row>
    <row r="123" ht="22" customHeight="1" s="121">
      <c r="A123" s="224" t="n">
        <v>124</v>
      </c>
      <c r="B123" s="257">
        <f>IFERROR(VLOOKUP(A123,'Cadastro Geral Campistas'!$A:$R,2,0),"")</f>
        <v/>
      </c>
      <c r="C123" s="257">
        <f>IFERROR(VLOOKUP(A123,'Cadastro Geral Campistas'!$A:$R,9,0),"")</f>
        <v/>
      </c>
      <c r="D123" s="261">
        <f>IFERROR(VLOOKUP(A123,'Cadastro Geral Campistas'!$A:$R,17,0),"")</f>
        <v/>
      </c>
      <c r="E123" s="208" t="inlineStr"/>
      <c r="F123" s="257">
        <f>IFERROR(VLOOKUP(A123,'Cadastro Geral Campistas'!$A:$R,8,0),"")</f>
        <v/>
      </c>
      <c r="G123" s="209" t="inlineStr"/>
      <c r="H123" s="209" t="inlineStr"/>
    </row>
    <row r="124" ht="22" customHeight="1" s="121">
      <c r="A124" s="228" t="n">
        <v>125</v>
      </c>
      <c r="B124" s="258">
        <f>IFERROR(VLOOKUP(A124,'Cadastro Geral Campistas'!$A:$R,2,0),"")</f>
        <v/>
      </c>
      <c r="C124" s="258">
        <f>IFERROR(VLOOKUP(A124,'Cadastro Geral Campistas'!$A:$R,9,0),"")</f>
        <v/>
      </c>
      <c r="D124" s="261">
        <f>IFERROR(VLOOKUP(A124,'Cadastro Geral Campistas'!$A:$R,17,0),"")</f>
        <v/>
      </c>
      <c r="E124" s="213" t="inlineStr"/>
      <c r="F124" s="258">
        <f>IFERROR(VLOOKUP(A124,'Cadastro Geral Campistas'!$A:$R,8,0),"")</f>
        <v/>
      </c>
      <c r="G124" s="209" t="inlineStr"/>
      <c r="H124" s="209" t="inlineStr"/>
    </row>
    <row r="125" ht="22" customHeight="1" s="121">
      <c r="A125" s="224" t="n">
        <v>126</v>
      </c>
      <c r="B125" s="257">
        <f>IFERROR(VLOOKUP(A125,'Cadastro Geral Campistas'!$A:$R,2,0),"")</f>
        <v/>
      </c>
      <c r="C125" s="257">
        <f>IFERROR(VLOOKUP(A125,'Cadastro Geral Campistas'!$A:$R,9,0),"")</f>
        <v/>
      </c>
      <c r="D125" s="226">
        <f>IFERROR(VLOOKUP(A125,'Cadastro Geral Campistas'!$A:$R,17,0),"")</f>
        <v/>
      </c>
      <c r="E125" s="208" t="inlineStr"/>
      <c r="F125" s="257">
        <f>IFERROR(VLOOKUP(A125,'Cadastro Geral Campistas'!$A:$R,8,0),"")</f>
        <v/>
      </c>
      <c r="G125" s="209" t="inlineStr"/>
      <c r="H125" s="209" t="inlineStr"/>
    </row>
    <row r="126" ht="22" customHeight="1" s="121">
      <c r="A126" s="228" t="n">
        <v>127</v>
      </c>
      <c r="B126" s="258">
        <f>IFERROR(VLOOKUP(A126,'Cadastro Geral Campistas'!$A:$R,2,0),"")</f>
        <v/>
      </c>
      <c r="C126" s="258">
        <f>IFERROR(VLOOKUP(A126,'Cadastro Geral Campistas'!$A:$R,9,0),"")</f>
        <v/>
      </c>
      <c r="D126" s="237">
        <f>IFERROR(VLOOKUP(A126,'Cadastro Geral Campistas'!$A:$R,17,0),"")</f>
        <v/>
      </c>
      <c r="E126" s="213" t="inlineStr"/>
      <c r="F126" s="258">
        <f>IFERROR(VLOOKUP(A126,'Cadastro Geral Campistas'!$A:$R,8,0),"")</f>
        <v/>
      </c>
      <c r="G126" s="209" t="inlineStr"/>
      <c r="H126" s="209" t="inlineStr"/>
    </row>
    <row r="127" ht="22" customHeight="1" s="121">
      <c r="A127" s="224" t="n">
        <v>128</v>
      </c>
      <c r="B127" s="257">
        <f>IFERROR(VLOOKUP(A127,'Cadastro Geral Campistas'!$A:$R,2,0),"")</f>
        <v/>
      </c>
      <c r="C127" s="257">
        <f>IFERROR(VLOOKUP(A127,'Cadastro Geral Campistas'!$A:$R,9,0),"")</f>
        <v/>
      </c>
      <c r="D127" s="237">
        <f>IFERROR(VLOOKUP(A127,'Cadastro Geral Campistas'!$A:$R,17,0),"")</f>
        <v/>
      </c>
      <c r="E127" s="208" t="inlineStr"/>
      <c r="F127" s="257">
        <f>IFERROR(VLOOKUP(A127,'Cadastro Geral Campistas'!$A:$R,8,0),"")</f>
        <v/>
      </c>
      <c r="G127" s="209" t="inlineStr"/>
      <c r="H127" s="209" t="inlineStr"/>
    </row>
    <row r="128" ht="22" customHeight="1" s="121">
      <c r="A128" s="228" t="n">
        <v>130</v>
      </c>
      <c r="B128" s="258">
        <f>IFERROR(VLOOKUP(A128,'Cadastro Geral Campistas'!$A:$R,2,0),"")</f>
        <v/>
      </c>
      <c r="C128" s="258">
        <f>IFERROR(VLOOKUP(A128,'Cadastro Geral Campistas'!$A:$R,9,0),"")</f>
        <v/>
      </c>
      <c r="D128" s="231">
        <f>IFERROR(VLOOKUP(A128,'Cadastro Geral Campistas'!$A:$R,17,0),"")</f>
        <v/>
      </c>
      <c r="E128" s="213" t="inlineStr"/>
      <c r="F128" s="258">
        <f>IFERROR(VLOOKUP(A128,'Cadastro Geral Campistas'!$A:$R,8,0),"")</f>
        <v/>
      </c>
      <c r="G128" s="209" t="inlineStr"/>
      <c r="H128" s="209" t="inlineStr"/>
    </row>
    <row r="129" ht="22" customHeight="1" s="121">
      <c r="A129" s="224" t="n">
        <v>131</v>
      </c>
      <c r="B129" s="257">
        <f>IFERROR(VLOOKUP(A129,'Cadastro Geral Campistas'!$A:$R,2,0),"")</f>
        <v/>
      </c>
      <c r="C129" s="257">
        <f>IFERROR(VLOOKUP(A129,'Cadastro Geral Campistas'!$A:$R,9,0),"")</f>
        <v/>
      </c>
      <c r="D129" s="226">
        <f>IFERROR(VLOOKUP(A129,'Cadastro Geral Campistas'!$A:$R,17,0),"")</f>
        <v/>
      </c>
      <c r="E129" s="208" t="inlineStr"/>
      <c r="F129" s="257">
        <f>IFERROR(VLOOKUP(A129,'Cadastro Geral Campistas'!$A:$R,8,0),"")</f>
        <v/>
      </c>
      <c r="G129" s="209" t="inlineStr"/>
      <c r="H129" s="209" t="inlineStr"/>
    </row>
    <row r="130" ht="22" customHeight="1" s="121">
      <c r="A130" s="228" t="n">
        <v>132</v>
      </c>
      <c r="B130" s="258">
        <f>IFERROR(VLOOKUP(A130,'Cadastro Geral Campistas'!$A:$R,2,0),"")</f>
        <v/>
      </c>
      <c r="C130" s="258">
        <f>IFERROR(VLOOKUP(A130,'Cadastro Geral Campistas'!$A:$R,9,0),"")</f>
        <v/>
      </c>
      <c r="D130" s="231">
        <f>IFERROR(VLOOKUP(A130,'Cadastro Geral Campistas'!$A:$R,17,0),"")</f>
        <v/>
      </c>
      <c r="E130" s="213" t="inlineStr"/>
      <c r="F130" s="258">
        <f>IFERROR(VLOOKUP(A130,'Cadastro Geral Campistas'!$A:$R,8,0),"")</f>
        <v/>
      </c>
      <c r="G130" s="209" t="inlineStr"/>
      <c r="H130" s="209" t="inlineStr"/>
    </row>
    <row r="131" ht="22" customHeight="1" s="121">
      <c r="A131" s="224" t="n">
        <v>133</v>
      </c>
      <c r="B131" s="257">
        <f>IFERROR(VLOOKUP(A131,'Cadastro Geral Campistas'!$A:$R,2,0),"")</f>
        <v/>
      </c>
      <c r="C131" s="257">
        <f>IFERROR(VLOOKUP(A131,'Cadastro Geral Campistas'!$A:$R,9,0),"")</f>
        <v/>
      </c>
      <c r="D131" s="226">
        <f>IFERROR(VLOOKUP(A131,'Cadastro Geral Campistas'!$A:$R,17,0),"")</f>
        <v/>
      </c>
      <c r="E131" s="208" t="inlineStr"/>
      <c r="F131" s="257">
        <f>IFERROR(VLOOKUP(A131,'Cadastro Geral Campistas'!$A:$R,8,0),"")</f>
        <v/>
      </c>
      <c r="G131" s="209" t="inlineStr"/>
      <c r="H131" s="209" t="inlineStr"/>
    </row>
    <row r="132" ht="22" customHeight="1" s="121">
      <c r="A132" s="228" t="n">
        <v>134</v>
      </c>
      <c r="B132" s="258">
        <f>IFERROR(VLOOKUP(A132,'Cadastro Geral Campistas'!$A:$R,2,0),"")</f>
        <v/>
      </c>
      <c r="C132" s="258">
        <f>IFERROR(VLOOKUP(A132,'Cadastro Geral Campistas'!$A:$R,9,0),"")</f>
        <v/>
      </c>
      <c r="D132" s="226">
        <f>IFERROR(VLOOKUP(A132,'Cadastro Geral Campistas'!$A:$R,17,0),"")</f>
        <v/>
      </c>
      <c r="E132" s="213" t="inlineStr"/>
      <c r="F132" s="258">
        <f>IFERROR(VLOOKUP(A132,'Cadastro Geral Campistas'!$A:$R,8,0),"")</f>
        <v/>
      </c>
      <c r="G132" s="209" t="inlineStr"/>
      <c r="H132" s="209" t="inlineStr"/>
    </row>
    <row r="133" ht="22" customHeight="1" s="121">
      <c r="A133" s="224" t="n">
        <v>135</v>
      </c>
      <c r="B133" s="257">
        <f>IFERROR(VLOOKUP(A133,'Cadastro Geral Campistas'!$A:$R,2,0),"")</f>
        <v/>
      </c>
      <c r="C133" s="257">
        <f>IFERROR(VLOOKUP(A133,'Cadastro Geral Campistas'!$A:$R,9,0),"")</f>
        <v/>
      </c>
      <c r="D133" s="251">
        <f>IFERROR(VLOOKUP(A133,'Cadastro Geral Campistas'!$A:$R,17,0),"")</f>
        <v/>
      </c>
      <c r="E133" s="208" t="inlineStr"/>
      <c r="F133" s="257">
        <f>IFERROR(VLOOKUP(A133,'Cadastro Geral Campistas'!$A:$R,8,0),"")</f>
        <v/>
      </c>
      <c r="G133" s="209" t="inlineStr"/>
      <c r="H133" s="209" t="inlineStr"/>
    </row>
    <row r="134" ht="22" customHeight="1" s="121">
      <c r="A134" s="228" t="n">
        <v>136</v>
      </c>
      <c r="B134" s="258">
        <f>IFERROR(VLOOKUP(A134,'Cadastro Geral Campistas'!$A:$R,2,0),"")</f>
        <v/>
      </c>
      <c r="C134" s="258">
        <f>IFERROR(VLOOKUP(A134,'Cadastro Geral Campistas'!$A:$R,9,0),"")</f>
        <v/>
      </c>
      <c r="D134" s="231">
        <f>IFERROR(VLOOKUP(A134,'Cadastro Geral Campistas'!$A:$R,17,0),"")</f>
        <v/>
      </c>
      <c r="E134" s="213" t="inlineStr"/>
      <c r="F134" s="258">
        <f>IFERROR(VLOOKUP(A134,'Cadastro Geral Campistas'!$A:$R,8,0),"")</f>
        <v/>
      </c>
      <c r="G134" s="209" t="inlineStr"/>
      <c r="H134" s="209" t="inlineStr"/>
    </row>
    <row r="135" ht="22" customHeight="1" s="121">
      <c r="A135" s="224" t="n">
        <v>143</v>
      </c>
      <c r="B135" s="257">
        <f>IFERROR(VLOOKUP(A135,'Cadastro Geral Campistas'!$A:$R,2,0),"")</f>
        <v/>
      </c>
      <c r="C135" s="257">
        <f>IFERROR(VLOOKUP(A135,'Cadastro Geral Campistas'!$A:$R,9,0),"")</f>
        <v/>
      </c>
      <c r="D135" s="251">
        <f>IFERROR(VLOOKUP(A135,'Cadastro Geral Campistas'!$A:$R,17,0),"")</f>
        <v/>
      </c>
      <c r="E135" s="208" t="inlineStr"/>
      <c r="F135" s="257">
        <f>IFERROR(VLOOKUP(A135,'Cadastro Geral Campistas'!$A:$R,8,0),"")</f>
        <v/>
      </c>
      <c r="G135" s="209" t="inlineStr"/>
      <c r="H135" s="209" t="inlineStr"/>
    </row>
    <row r="136" ht="22" customHeight="1" s="121">
      <c r="A136" s="259" t="n">
        <v>137</v>
      </c>
      <c r="B136" s="260">
        <f>IFERROR(VLOOKUP(A136,'Cadastro Geral Campistas'!$A:$R,2,0),"")</f>
        <v/>
      </c>
      <c r="C136" s="260">
        <f>IFERROR(VLOOKUP(A136,'Cadastro Geral Campistas'!$A:$R,9,0),"")</f>
        <v/>
      </c>
      <c r="D136" s="231">
        <f>IFERROR(VLOOKUP(A136,'Cadastro Geral Campistas'!$A:$R,17,0),"")</f>
        <v/>
      </c>
      <c r="E136" s="254" t="inlineStr"/>
      <c r="F136" s="260">
        <f>IFERROR(VLOOKUP(A136,'Cadastro Geral Campistas'!$A:$R,8,0),"")</f>
        <v/>
      </c>
      <c r="G136" s="209" t="inlineStr"/>
      <c r="H136" s="209" t="inlineStr"/>
    </row>
    <row r="137" ht="22" customHeight="1" s="121">
      <c r="A137" s="224" t="n">
        <v>138</v>
      </c>
      <c r="B137" s="257">
        <f>IFERROR(VLOOKUP(A137,'Cadastro Geral Campistas'!$A:$R,2,0),"")</f>
        <v/>
      </c>
      <c r="C137" s="257">
        <f>IFERROR(VLOOKUP(A137,'Cadastro Geral Campistas'!$A:$R,9,0),"")</f>
        <v/>
      </c>
      <c r="D137" s="261">
        <f>IFERROR(VLOOKUP(A137,'Cadastro Geral Campistas'!$A:$R,17,0),"")</f>
        <v/>
      </c>
      <c r="E137" s="208" t="inlineStr"/>
      <c r="F137" s="257">
        <f>IFERROR(VLOOKUP(A137,'Cadastro Geral Campistas'!$A:$R,8,0),"")</f>
        <v/>
      </c>
      <c r="G137" s="209" t="inlineStr"/>
      <c r="H137" s="209" t="inlineStr"/>
    </row>
    <row r="138" ht="22" customHeight="1" s="121">
      <c r="A138" s="228" t="n">
        <v>139</v>
      </c>
      <c r="B138" s="258">
        <f>IFERROR(VLOOKUP(A138,'Cadastro Geral Campistas'!$A:$R,2,0),"")</f>
        <v/>
      </c>
      <c r="C138" s="258">
        <f>IFERROR(VLOOKUP(A138,'Cadastro Geral Campistas'!$A:$R,9,0),"")</f>
        <v/>
      </c>
      <c r="D138" s="237">
        <f>IFERROR(VLOOKUP(A138,'Cadastro Geral Campistas'!$A:$R,17,0),"")</f>
        <v/>
      </c>
      <c r="E138" s="213" t="inlineStr"/>
      <c r="F138" s="258">
        <f>IFERROR(VLOOKUP(A138,'Cadastro Geral Campistas'!$A:$R,8,0),"")</f>
        <v/>
      </c>
      <c r="G138" s="209" t="inlineStr"/>
      <c r="H138" s="209" t="inlineStr"/>
    </row>
    <row r="139" ht="22" customHeight="1" s="121">
      <c r="A139" s="224" t="n">
        <v>140</v>
      </c>
      <c r="B139" s="257">
        <f>IFERROR(VLOOKUP(A139,'Cadastro Geral Campistas'!$A:$R,2,0),"")</f>
        <v/>
      </c>
      <c r="C139" s="257">
        <f>IFERROR(VLOOKUP(A139,'Cadastro Geral Campistas'!$A:$R,9,0),"")</f>
        <v/>
      </c>
      <c r="D139" s="262">
        <f>IFERROR(VLOOKUP(A139,'Cadastro Geral Campistas'!$A:$R,17,0),"")</f>
        <v/>
      </c>
      <c r="E139" s="208" t="inlineStr"/>
      <c r="F139" s="257">
        <f>IFERROR(VLOOKUP(A139,'Cadastro Geral Campistas'!$A:$R,8,0),"")</f>
        <v/>
      </c>
      <c r="G139" s="209" t="inlineStr"/>
      <c r="H139" s="209" t="inlineStr"/>
    </row>
    <row r="140" ht="22" customHeight="1" s="121">
      <c r="A140" s="228" t="n">
        <v>28</v>
      </c>
      <c r="B140" s="258">
        <f>IFERROR(VLOOKUP(A140,'Cadastro Geral Campistas'!$A:$R,2,0),"")</f>
        <v/>
      </c>
      <c r="C140" s="258">
        <f>IFERROR(VLOOKUP(A140,'Cadastro Geral Campistas'!$A:$R,9,0),"")</f>
        <v/>
      </c>
      <c r="D140" s="237">
        <f>IFERROR(VLOOKUP(A140,'Cadastro Geral Campistas'!$A:$R,17,0),"")</f>
        <v/>
      </c>
      <c r="E140" s="213" t="inlineStr"/>
      <c r="F140" s="258">
        <f>IFERROR(VLOOKUP(A140,'Cadastro Geral Campistas'!$A:$R,8,0),"")</f>
        <v/>
      </c>
      <c r="G140" s="209" t="inlineStr"/>
      <c r="H140" s="209" t="inlineStr"/>
    </row>
    <row r="141" ht="22" customHeight="1" s="121">
      <c r="A141" s="224" t="n">
        <v>34</v>
      </c>
      <c r="B141" s="257">
        <f>IFERROR(VLOOKUP(A141,'Cadastro Geral Campistas'!$A:$R,2,0),"")</f>
        <v/>
      </c>
      <c r="C141" s="257">
        <f>IFERROR(VLOOKUP(A141,'Cadastro Geral Campistas'!$A:$R,9,0),"")</f>
        <v/>
      </c>
      <c r="D141" s="237">
        <f>IFERROR(VLOOKUP(A141,'Cadastro Geral Campistas'!$A:$R,17,0),"")</f>
        <v/>
      </c>
      <c r="E141" s="208" t="inlineStr"/>
      <c r="F141" s="257">
        <f>IFERROR(VLOOKUP(A141,'Cadastro Geral Campistas'!$A:$R,8,0),"")</f>
        <v/>
      </c>
      <c r="G141" s="209" t="inlineStr"/>
      <c r="H141" s="209" t="inlineStr"/>
    </row>
    <row r="142" ht="22" customHeight="1" s="121">
      <c r="A142" s="228" t="n">
        <v>78</v>
      </c>
      <c r="B142" s="258">
        <f>IFERROR(VLOOKUP(A142,'Cadastro Geral Campistas'!$A:$R,2,0),"")</f>
        <v/>
      </c>
      <c r="C142" s="258">
        <f>IFERROR(VLOOKUP(A142,'Cadastro Geral Campistas'!$A:$R,9,0),"")</f>
        <v/>
      </c>
      <c r="D142" s="262">
        <f>IFERROR(VLOOKUP(A142,'Cadastro Geral Campistas'!$A:$R,17,0),"")</f>
        <v/>
      </c>
      <c r="E142" s="213" t="inlineStr"/>
      <c r="F142" s="258">
        <f>IFERROR(VLOOKUP(A142,'Cadastro Geral Campistas'!$A:$R,8,0),"")</f>
        <v/>
      </c>
      <c r="G142" s="209" t="inlineStr"/>
      <c r="H142" s="209" t="inlineStr"/>
    </row>
    <row r="143" ht="22" customHeight="1" s="121">
      <c r="A143" s="224" t="n">
        <v>83</v>
      </c>
      <c r="B143" s="257">
        <f>IFERROR(VLOOKUP(A143,'Cadastro Geral Campistas'!$A:$R,2,0),"")</f>
        <v/>
      </c>
      <c r="C143" s="257">
        <f>IFERROR(VLOOKUP(A143,'Cadastro Geral Campistas'!$A:$R,9,0),"")</f>
        <v/>
      </c>
      <c r="D143" s="232">
        <f>IFERROR(VLOOKUP(A143,'Cadastro Geral Campistas'!$A:$R,17,0),"")</f>
        <v/>
      </c>
      <c r="E143" s="208" t="inlineStr"/>
      <c r="F143" s="257">
        <f>IFERROR(VLOOKUP(A143,'Cadastro Geral Campistas'!$A:$R,8,0),"")</f>
        <v/>
      </c>
      <c r="G143" s="209" t="inlineStr"/>
      <c r="H143" s="209" t="inlineStr"/>
    </row>
    <row r="144" ht="22" customHeight="1" s="121">
      <c r="A144" s="228" t="n">
        <v>101</v>
      </c>
      <c r="B144" s="258">
        <f>IFERROR(VLOOKUP(A144,'Cadastro Geral Campistas'!$A:$R,2,0),"")</f>
        <v/>
      </c>
      <c r="C144" s="258">
        <f>IFERROR(VLOOKUP(A144,'Cadastro Geral Campistas'!$A:$R,9,0),"")</f>
        <v/>
      </c>
      <c r="D144" s="262">
        <f>IFERROR(VLOOKUP(A144,'Cadastro Geral Campistas'!$A:$R,17,0),"")</f>
        <v/>
      </c>
      <c r="E144" s="213" t="inlineStr"/>
      <c r="F144" s="258">
        <f>IFERROR(VLOOKUP(A144,'Cadastro Geral Campistas'!$A:$R,8,0),"")</f>
        <v/>
      </c>
      <c r="G144" s="209" t="inlineStr"/>
      <c r="H144" s="209" t="inlineStr"/>
    </row>
    <row r="145" ht="22" customHeight="1" s="121">
      <c r="A145" s="224" t="n">
        <v>129</v>
      </c>
      <c r="B145" s="257">
        <f>IFERROR(VLOOKUP(A145,'Cadastro Geral Campistas'!$A:$R,2,0),"")</f>
        <v/>
      </c>
      <c r="C145" s="257">
        <f>IFERROR(VLOOKUP(A145,'Cadastro Geral Campistas'!$A:$R,9,0),"")</f>
        <v/>
      </c>
      <c r="D145" s="262">
        <f>IFERROR(VLOOKUP(A145,'Cadastro Geral Campistas'!$A:$R,17,0),"")</f>
        <v/>
      </c>
      <c r="E145" s="208" t="inlineStr"/>
      <c r="F145" s="257">
        <f>IFERROR(VLOOKUP(A145,'Cadastro Geral Campistas'!$A:$R,8,0),"")</f>
        <v/>
      </c>
      <c r="G145" s="209" t="inlineStr"/>
      <c r="H145" s="209" t="inlineStr"/>
    </row>
    <row r="146" ht="20" customHeight="1" s="121">
      <c r="A146" s="264">
        <f>CONCATENATE("TOTAL: ",COUNTA(A3:A145)," campistas")</f>
        <v/>
      </c>
      <c r="B146" s="238" t="n"/>
      <c r="C146" s="239" t="n"/>
      <c r="D146" s="202" t="inlineStr"/>
      <c r="E146" s="202" t="inlineStr"/>
      <c r="F146" s="202" t="inlineStr"/>
      <c r="G146" s="265">
        <f>COUNTA(G3:G145)</f>
        <v/>
      </c>
      <c r="H146" s="265">
        <f>COUNTA(H3:H145)</f>
        <v/>
      </c>
    </row>
  </sheetData>
  <mergeCells count="2">
    <mergeCell ref="A146:C146"/>
    <mergeCell ref="A1:H1"/>
  </mergeCells>
  <conditionalFormatting sqref="D3:D145">
    <cfRule type="expression" priority="1" dxfId="37" stopIfTrue="0">
      <formula>D3="Simeão"</formula>
    </cfRule>
    <cfRule type="expression" priority="2" dxfId="38" stopIfTrue="0">
      <formula>D3="Rubem"</formula>
    </cfRule>
    <cfRule type="expression" priority="3" dxfId="39" stopIfTrue="0">
      <formula>D3="Judá"</formula>
    </cfRule>
    <cfRule type="expression" priority="4" dxfId="40" stopIfTrue="0">
      <formula>D3="Levi"</formula>
    </cfRule>
    <cfRule type="expression" priority="5" dxfId="41" stopIfTrue="0">
      <formula>D3="Benjamim"</formula>
    </cfRule>
    <cfRule type="expression" priority="6" dxfId="42" stopIfTrue="0">
      <formula>D3="Issacar"</formula>
    </cfRule>
    <cfRule type="expression" priority="7" dxfId="43" stopIfTrue="0">
      <formula>D3="Gad"</formula>
    </cfRule>
    <cfRule type="expression" priority="8" dxfId="44" stopIfTrue="0">
      <formula>D3="Zabulom"</formula>
    </cfRule>
    <cfRule type="expression" priority="9" dxfId="45" stopIfTrue="0">
      <formula>D3="EFRAIM"</formula>
    </cfRule>
  </conditionalFormatting>
  <pageMargins left="0.5" right="0.5" top="0.6" bottom="0.6" header="0.3" footer="0.3"/>
  <pageSetup orientation="portrait" paperSize="9" fitToHeight="0" fitToWidth="1"/>
  <headerFooter>
    <oddHeader>&amp;C&amp;"Arial,Bold"&amp;11 VIII Acampamento Espírito Empreendedor — Lista Praça</oddHeader>
    <oddFooter>&amp;CPágina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" customWidth="1" style="121" min="1" max="1"/>
    <col width="8" customWidth="1" style="121" min="2" max="2"/>
    <col width="36" customWidth="1" style="121" min="3" max="3"/>
    <col width="13" customWidth="1" style="121" min="4" max="4"/>
    <col width="8" customWidth="1" style="121" min="5" max="5"/>
    <col width="36" customWidth="1" style="121" min="6" max="6"/>
    <col width="13" customWidth="1" style="121" min="7" max="7"/>
  </cols>
  <sheetData>
    <row r="1" ht="26" customHeight="1" s="121">
      <c r="A1" s="223" t="inlineStr">
        <is>
          <t>CASAIS — ACAMPAMENTO ESPÍRITO EMPREENDEDOR</t>
        </is>
      </c>
    </row>
    <row r="2" ht="20" customHeight="1" s="121">
      <c r="A2" s="266" t="inlineStr">
        <is>
          <t>#</t>
        </is>
      </c>
      <c r="B2" s="266" t="inlineStr">
        <is>
          <t>FC ✏️</t>
        </is>
      </c>
      <c r="C2" s="266" t="inlineStr">
        <is>
          <t>NOME</t>
        </is>
      </c>
      <c r="D2" s="266" t="inlineStr">
        <is>
          <t>TRIBO</t>
        </is>
      </c>
      <c r="E2" s="266" t="inlineStr">
        <is>
          <t>FC CÔNJUGE ✏️</t>
        </is>
      </c>
      <c r="F2" s="266" t="inlineStr">
        <is>
          <t>NOME CÔNJUGE</t>
        </is>
      </c>
      <c r="G2" s="266" t="inlineStr">
        <is>
          <t>TRIBO CÔNJUGE</t>
        </is>
      </c>
    </row>
    <row r="3" ht="18" customHeight="1" s="121">
      <c r="A3" s="267" t="n">
        <v>1</v>
      </c>
      <c r="B3" s="210" t="n">
        <v>3</v>
      </c>
      <c r="C3" s="211">
        <f>IFERROR(VLOOKUP(B3,'Cadastro Geral Campistas'!$A:$R,2,0),"")</f>
        <v/>
      </c>
      <c r="D3" s="253">
        <f>IFERROR(VLOOKUP(B3,'Cadastro Geral Campistas'!$A:$R,17,0),"")</f>
        <v/>
      </c>
      <c r="E3" s="210" t="n">
        <v>100</v>
      </c>
      <c r="F3" s="211">
        <f>IFERROR(VLOOKUP(E3,'Cadastro Geral Campistas'!$A:$R,2,0),"")</f>
        <v/>
      </c>
      <c r="G3" s="249">
        <f>IFERROR(VLOOKUP(E3,'Cadastro Geral Campistas'!$A:$R,17,0),"")</f>
        <v/>
      </c>
    </row>
    <row r="4" ht="18" customHeight="1" s="121">
      <c r="A4" s="268" t="n">
        <v>2</v>
      </c>
      <c r="B4" s="240" t="n">
        <v>7</v>
      </c>
      <c r="C4" s="252">
        <f>IFERROR(VLOOKUP(B4,'Cadastro Geral Campistas'!$A:$R,2,0),"")</f>
        <v/>
      </c>
      <c r="D4" s="256">
        <f>IFERROR(VLOOKUP(B4,'Cadastro Geral Campistas'!$A:$R,17,0),"")</f>
        <v/>
      </c>
      <c r="E4" s="240" t="n">
        <v>16</v>
      </c>
      <c r="F4" s="252">
        <f>IFERROR(VLOOKUP(E4,'Cadastro Geral Campistas'!$A:$R,2,0),"")</f>
        <v/>
      </c>
      <c r="G4" s="207">
        <f>IFERROR(VLOOKUP(E4,'Cadastro Geral Campistas'!$A:$R,17,0),"")</f>
        <v/>
      </c>
    </row>
    <row r="5" ht="18" customHeight="1" s="121">
      <c r="A5" s="267" t="n">
        <v>3</v>
      </c>
      <c r="B5" s="210" t="n">
        <v>8</v>
      </c>
      <c r="C5" s="211">
        <f>IFERROR(VLOOKUP(B5,'Cadastro Geral Campistas'!$A:$R,2,0),"")</f>
        <v/>
      </c>
      <c r="D5" s="218">
        <f>IFERROR(VLOOKUP(B5,'Cadastro Geral Campistas'!$A:$R,17,0),"")</f>
        <v/>
      </c>
      <c r="E5" s="210" t="n">
        <v>40</v>
      </c>
      <c r="F5" s="211">
        <f>IFERROR(VLOOKUP(E5,'Cadastro Geral Campistas'!$A:$R,2,0),"")</f>
        <v/>
      </c>
      <c r="G5" s="256">
        <f>IFERROR(VLOOKUP(E5,'Cadastro Geral Campistas'!$A:$R,17,0),"")</f>
        <v/>
      </c>
    </row>
    <row r="6" ht="18" customHeight="1" s="121">
      <c r="A6" s="268" t="n">
        <v>4</v>
      </c>
      <c r="B6" s="240" t="n">
        <v>12</v>
      </c>
      <c r="C6" s="252">
        <f>IFERROR(VLOOKUP(B6,'Cadastro Geral Campistas'!$A:$R,2,0),"")</f>
        <v/>
      </c>
      <c r="D6" s="249">
        <f>IFERROR(VLOOKUP(B6,'Cadastro Geral Campistas'!$A:$R,17,0),"")</f>
        <v/>
      </c>
      <c r="E6" s="240" t="n">
        <v>92</v>
      </c>
      <c r="F6" s="252">
        <f>IFERROR(VLOOKUP(E6,'Cadastro Geral Campistas'!$A:$R,2,0),"")</f>
        <v/>
      </c>
      <c r="G6" s="256">
        <f>IFERROR(VLOOKUP(E6,'Cadastro Geral Campistas'!$A:$R,17,0),"")</f>
        <v/>
      </c>
    </row>
    <row r="7" ht="18" customHeight="1" s="121">
      <c r="A7" s="267" t="n">
        <v>5</v>
      </c>
      <c r="B7" s="210" t="n">
        <v>19</v>
      </c>
      <c r="C7" s="211">
        <f>IFERROR(VLOOKUP(B7,'Cadastro Geral Campistas'!$A:$R,2,0),"")</f>
        <v/>
      </c>
      <c r="D7" s="255">
        <f>IFERROR(VLOOKUP(B7,'Cadastro Geral Campistas'!$A:$R,17,0),"")</f>
        <v/>
      </c>
      <c r="E7" s="210" t="n">
        <v>71</v>
      </c>
      <c r="F7" s="211">
        <f>IFERROR(VLOOKUP(E7,'Cadastro Geral Campistas'!$A:$R,2,0),"")</f>
        <v/>
      </c>
      <c r="G7" s="207">
        <f>IFERROR(VLOOKUP(E7,'Cadastro Geral Campistas'!$A:$R,17,0),"")</f>
        <v/>
      </c>
    </row>
    <row r="8" ht="18" customHeight="1" s="121">
      <c r="A8" s="268" t="n">
        <v>6</v>
      </c>
      <c r="B8" s="240" t="n">
        <v>21</v>
      </c>
      <c r="C8" s="252">
        <f>IFERROR(VLOOKUP(B8,'Cadastro Geral Campistas'!$A:$R,2,0),"")</f>
        <v/>
      </c>
      <c r="D8" s="253">
        <f>IFERROR(VLOOKUP(B8,'Cadastro Geral Campistas'!$A:$R,17,0),"")</f>
        <v/>
      </c>
      <c r="E8" s="240" t="n">
        <v>105</v>
      </c>
      <c r="F8" s="252">
        <f>IFERROR(VLOOKUP(E8,'Cadastro Geral Campistas'!$A:$R,2,0),"")</f>
        <v/>
      </c>
      <c r="G8" s="256">
        <f>IFERROR(VLOOKUP(E8,'Cadastro Geral Campistas'!$A:$R,17,0),"")</f>
        <v/>
      </c>
    </row>
    <row r="9" ht="18" customHeight="1" s="121">
      <c r="A9" s="267" t="n">
        <v>7</v>
      </c>
      <c r="B9" s="210" t="n">
        <v>26</v>
      </c>
      <c r="C9" s="211">
        <f>IFERROR(VLOOKUP(B9,'Cadastro Geral Campistas'!$A:$R,2,0),"")</f>
        <v/>
      </c>
      <c r="D9" s="256">
        <f>IFERROR(VLOOKUP(B9,'Cadastro Geral Campistas'!$A:$R,17,0),"")</f>
        <v/>
      </c>
      <c r="E9" s="210" t="n">
        <v>82</v>
      </c>
      <c r="F9" s="211">
        <f>IFERROR(VLOOKUP(E9,'Cadastro Geral Campistas'!$A:$R,2,0),"")</f>
        <v/>
      </c>
      <c r="G9" s="207">
        <f>IFERROR(VLOOKUP(E9,'Cadastro Geral Campistas'!$A:$R,17,0),"")</f>
        <v/>
      </c>
    </row>
    <row r="10" ht="18" customHeight="1" s="121">
      <c r="A10" s="268" t="n">
        <v>8</v>
      </c>
      <c r="B10" s="240" t="n">
        <v>32</v>
      </c>
      <c r="C10" s="252">
        <f>IFERROR(VLOOKUP(B10,'Cadastro Geral Campistas'!$A:$R,2,0),"")</f>
        <v/>
      </c>
      <c r="D10" s="215">
        <f>IFERROR(VLOOKUP(B10,'Cadastro Geral Campistas'!$A:$R,17,0),"")</f>
        <v/>
      </c>
      <c r="E10" s="240" t="n">
        <v>33</v>
      </c>
      <c r="F10" s="252">
        <f>IFERROR(VLOOKUP(E10,'Cadastro Geral Campistas'!$A:$R,2,0),"")</f>
        <v/>
      </c>
      <c r="G10" s="207">
        <f>IFERROR(VLOOKUP(E10,'Cadastro Geral Campistas'!$A:$R,17,0),"")</f>
        <v/>
      </c>
    </row>
    <row r="11" ht="18" customHeight="1" s="121">
      <c r="A11" s="267" t="n">
        <v>9</v>
      </c>
      <c r="B11" s="210" t="n">
        <v>91</v>
      </c>
      <c r="C11" s="211">
        <f>IFERROR(VLOOKUP(B11,'Cadastro Geral Campistas'!$A:$R,2,0),"")</f>
        <v/>
      </c>
      <c r="D11" s="256">
        <f>IFERROR(VLOOKUP(B11,'Cadastro Geral Campistas'!$A:$R,17,0),"")</f>
        <v/>
      </c>
      <c r="E11" s="210" t="n">
        <v>137</v>
      </c>
      <c r="F11" s="211">
        <f>IFERROR(VLOOKUP(E11,'Cadastro Geral Campistas'!$A:$R,2,0),"")</f>
        <v/>
      </c>
      <c r="G11" s="214">
        <f>IFERROR(VLOOKUP(E11,'Cadastro Geral Campistas'!$A:$R,17,0),"")</f>
        <v/>
      </c>
    </row>
    <row r="12" ht="18" customHeight="1" s="121">
      <c r="A12" s="268" t="n">
        <v>10</v>
      </c>
      <c r="B12" s="240" t="n">
        <v>93</v>
      </c>
      <c r="C12" s="252">
        <f>IFERROR(VLOOKUP(B12,'Cadastro Geral Campistas'!$A:$R,2,0),"")</f>
        <v/>
      </c>
      <c r="D12" s="215">
        <f>IFERROR(VLOOKUP(B12,'Cadastro Geral Campistas'!$A:$R,17,0),"")</f>
        <v/>
      </c>
      <c r="E12" s="240" t="n">
        <v>119</v>
      </c>
      <c r="F12" s="252">
        <f>IFERROR(VLOOKUP(E12,'Cadastro Geral Campistas'!$A:$R,2,0),"")</f>
        <v/>
      </c>
      <c r="G12" s="214">
        <f>IFERROR(VLOOKUP(E12,'Cadastro Geral Campistas'!$A:$R,17,0),"")</f>
        <v/>
      </c>
    </row>
    <row r="14" ht="26" customHeight="1" s="121">
      <c r="A14" s="269" t="inlineStr">
        <is>
          <t>DEMAIS CAMPISTAS COM CONHECIDOS DECLARADOS</t>
        </is>
      </c>
    </row>
    <row r="15" ht="20" customHeight="1" s="121">
      <c r="A15" s="270" t="inlineStr">
        <is>
          <t>FC ✏️</t>
        </is>
      </c>
      <c r="B15" s="270" t="inlineStr">
        <is>
          <t>NOME</t>
        </is>
      </c>
      <c r="C15" s="270" t="inlineStr">
        <is>
          <t>TRIBO</t>
        </is>
      </c>
      <c r="D15" s="270" t="inlineStr">
        <is>
          <t>CONHECIDOS DECLARADOS</t>
        </is>
      </c>
    </row>
    <row r="16" ht="18" customHeight="1" s="121">
      <c r="A16" s="271" t="n">
        <v>1</v>
      </c>
      <c r="B16" s="272">
        <f>IFERROR(VLOOKUP(A16,'Cadastro Geral Campistas'!$A:$R,2,0),"")</f>
        <v/>
      </c>
      <c r="C16" s="207">
        <f>IFERROR(VLOOKUP(A16,'Cadastro Geral Campistas'!$A:$R,17,0),"")</f>
        <v/>
      </c>
      <c r="D16" s="273">
        <f>IFERROR(VLOOKUP(A16,'Cadastro Geral Campistas'!$A:$R,10,0),"")</f>
        <v/>
      </c>
    </row>
    <row r="17" ht="18" customHeight="1" s="121">
      <c r="A17" s="210" t="n">
        <v>4</v>
      </c>
      <c r="B17" s="211">
        <f>IFERROR(VLOOKUP(A17,'Cadastro Geral Campistas'!$A:$R,2,0),"")</f>
        <v/>
      </c>
      <c r="C17" s="255">
        <f>IFERROR(VLOOKUP(A17,'Cadastro Geral Campistas'!$A:$R,17,0),"")</f>
        <v/>
      </c>
      <c r="D17" s="274">
        <f>IFERROR(VLOOKUP(A17,'Cadastro Geral Campistas'!$A:$R,10,0),"")</f>
        <v/>
      </c>
    </row>
    <row r="18" ht="18" customHeight="1" s="121">
      <c r="A18" s="271" t="n">
        <v>5</v>
      </c>
      <c r="B18" s="272">
        <f>IFERROR(VLOOKUP(A18,'Cadastro Geral Campistas'!$A:$R,2,0),"")</f>
        <v/>
      </c>
      <c r="C18" s="218">
        <f>IFERROR(VLOOKUP(A18,'Cadastro Geral Campistas'!$A:$R,17,0),"")</f>
        <v/>
      </c>
      <c r="D18" s="273">
        <f>IFERROR(VLOOKUP(A18,'Cadastro Geral Campistas'!$A:$R,10,0),"")</f>
        <v/>
      </c>
    </row>
    <row r="19" ht="18" customHeight="1" s="121">
      <c r="A19" s="210" t="n">
        <v>9</v>
      </c>
      <c r="B19" s="211">
        <f>IFERROR(VLOOKUP(A19,'Cadastro Geral Campistas'!$A:$R,2,0),"")</f>
        <v/>
      </c>
      <c r="C19" s="249">
        <f>IFERROR(VLOOKUP(A19,'Cadastro Geral Campistas'!$A:$R,17,0),"")</f>
        <v/>
      </c>
      <c r="D19" s="274">
        <f>IFERROR(VLOOKUP(A19,'Cadastro Geral Campistas'!$A:$R,10,0),"")</f>
        <v/>
      </c>
    </row>
    <row r="20" ht="18" customHeight="1" s="121">
      <c r="A20" s="271" t="n">
        <v>10</v>
      </c>
      <c r="B20" s="272">
        <f>IFERROR(VLOOKUP(A20,'Cadastro Geral Campistas'!$A:$R,2,0),"")</f>
        <v/>
      </c>
      <c r="C20" s="218">
        <f>IFERROR(VLOOKUP(A20,'Cadastro Geral Campistas'!$A:$R,17,0),"")</f>
        <v/>
      </c>
      <c r="D20" s="273">
        <f>IFERROR(VLOOKUP(A20,'Cadastro Geral Campistas'!$A:$R,10,0),"")</f>
        <v/>
      </c>
    </row>
    <row r="21" ht="18" customHeight="1" s="121">
      <c r="A21" s="210" t="n">
        <v>13</v>
      </c>
      <c r="B21" s="211">
        <f>IFERROR(VLOOKUP(A21,'Cadastro Geral Campistas'!$A:$R,2,0),"")</f>
        <v/>
      </c>
      <c r="C21" s="249">
        <f>IFERROR(VLOOKUP(A21,'Cadastro Geral Campistas'!$A:$R,17,0),"")</f>
        <v/>
      </c>
      <c r="D21" s="274">
        <f>IFERROR(VLOOKUP(A21,'Cadastro Geral Campistas'!$A:$R,10,0),"")</f>
        <v/>
      </c>
    </row>
    <row r="22" ht="18" customHeight="1" s="121">
      <c r="A22" s="271" t="n">
        <v>14</v>
      </c>
      <c r="B22" s="272">
        <f>IFERROR(VLOOKUP(A22,'Cadastro Geral Campistas'!$A:$R,2,0),"")</f>
        <v/>
      </c>
      <c r="C22" s="256">
        <f>IFERROR(VLOOKUP(A22,'Cadastro Geral Campistas'!$A:$R,17,0),"")</f>
        <v/>
      </c>
      <c r="D22" s="273">
        <f>IFERROR(VLOOKUP(A22,'Cadastro Geral Campistas'!$A:$R,10,0),"")</f>
        <v/>
      </c>
    </row>
    <row r="23" ht="18" customHeight="1" s="121">
      <c r="A23" s="210" t="n">
        <v>15</v>
      </c>
      <c r="B23" s="211">
        <f>IFERROR(VLOOKUP(A23,'Cadastro Geral Campistas'!$A:$R,2,0),"")</f>
        <v/>
      </c>
      <c r="C23" s="218">
        <f>IFERROR(VLOOKUP(A23,'Cadastro Geral Campistas'!$A:$R,17,0),"")</f>
        <v/>
      </c>
      <c r="D23" s="274">
        <f>IFERROR(VLOOKUP(A23,'Cadastro Geral Campistas'!$A:$R,10,0),"")</f>
        <v/>
      </c>
    </row>
    <row r="24" ht="18" customHeight="1" s="121">
      <c r="A24" s="271" t="n">
        <v>22</v>
      </c>
      <c r="B24" s="272">
        <f>IFERROR(VLOOKUP(A24,'Cadastro Geral Campistas'!$A:$R,2,0),"")</f>
        <v/>
      </c>
      <c r="C24" s="215">
        <f>IFERROR(VLOOKUP(A24,'Cadastro Geral Campistas'!$A:$R,17,0),"")</f>
        <v/>
      </c>
      <c r="D24" s="273">
        <f>IFERROR(VLOOKUP(A24,'Cadastro Geral Campistas'!$A:$R,10,0),"")</f>
        <v/>
      </c>
    </row>
    <row r="25" ht="18" customHeight="1" s="121">
      <c r="A25" s="210" t="n">
        <v>23</v>
      </c>
      <c r="B25" s="211">
        <f>IFERROR(VLOOKUP(A25,'Cadastro Geral Campistas'!$A:$R,2,0),"")</f>
        <v/>
      </c>
      <c r="C25" s="220">
        <f>IFERROR(VLOOKUP(A25,'Cadastro Geral Campistas'!$A:$R,17,0),"")</f>
        <v/>
      </c>
      <c r="D25" s="274">
        <f>IFERROR(VLOOKUP(A25,'Cadastro Geral Campistas'!$A:$R,10,0),"")</f>
        <v/>
      </c>
    </row>
    <row r="26" ht="18" customHeight="1" s="121">
      <c r="A26" s="271" t="n">
        <v>27</v>
      </c>
      <c r="B26" s="272">
        <f>IFERROR(VLOOKUP(A26,'Cadastro Geral Campistas'!$A:$R,2,0),"")</f>
        <v/>
      </c>
      <c r="C26" s="255">
        <f>IFERROR(VLOOKUP(A26,'Cadastro Geral Campistas'!$A:$R,17,0),"")</f>
        <v/>
      </c>
      <c r="D26" s="273">
        <f>IFERROR(VLOOKUP(A26,'Cadastro Geral Campistas'!$A:$R,10,0),"")</f>
        <v/>
      </c>
    </row>
    <row r="27" ht="18" customHeight="1" s="121">
      <c r="A27" s="210" t="n">
        <v>31</v>
      </c>
      <c r="B27" s="211">
        <f>IFERROR(VLOOKUP(A27,'Cadastro Geral Campistas'!$A:$R,2,0),"")</f>
        <v/>
      </c>
      <c r="C27" s="220">
        <f>IFERROR(VLOOKUP(A27,'Cadastro Geral Campistas'!$A:$R,17,0),"")</f>
        <v/>
      </c>
      <c r="D27" s="274">
        <f>IFERROR(VLOOKUP(A27,'Cadastro Geral Campistas'!$A:$R,10,0),"")</f>
        <v/>
      </c>
    </row>
    <row r="28" ht="18" customHeight="1" s="121">
      <c r="A28" s="271" t="n">
        <v>36</v>
      </c>
      <c r="B28" s="272">
        <f>IFERROR(VLOOKUP(A28,'Cadastro Geral Campistas'!$A:$R,2,0),"")</f>
        <v/>
      </c>
      <c r="C28" s="215">
        <f>IFERROR(VLOOKUP(A28,'Cadastro Geral Campistas'!$A:$R,17,0),"")</f>
        <v/>
      </c>
      <c r="D28" s="273">
        <f>IFERROR(VLOOKUP(A28,'Cadastro Geral Campistas'!$A:$R,10,0),"")</f>
        <v/>
      </c>
    </row>
    <row r="29" ht="18" customHeight="1" s="121">
      <c r="A29" s="210" t="n">
        <v>38</v>
      </c>
      <c r="B29" s="211">
        <f>IFERROR(VLOOKUP(A29,'Cadastro Geral Campistas'!$A:$R,2,0),"")</f>
        <v/>
      </c>
      <c r="C29" s="214">
        <f>IFERROR(VLOOKUP(A29,'Cadastro Geral Campistas'!$A:$R,17,0),"")</f>
        <v/>
      </c>
      <c r="D29" s="274">
        <f>IFERROR(VLOOKUP(A29,'Cadastro Geral Campistas'!$A:$R,10,0),"")</f>
        <v/>
      </c>
    </row>
    <row r="30" ht="18" customHeight="1" s="121">
      <c r="A30" s="271" t="n">
        <v>39</v>
      </c>
      <c r="B30" s="272">
        <f>IFERROR(VLOOKUP(A30,'Cadastro Geral Campistas'!$A:$R,2,0),"")</f>
        <v/>
      </c>
      <c r="C30" s="218">
        <f>IFERROR(VLOOKUP(A30,'Cadastro Geral Campistas'!$A:$R,17,0),"")</f>
        <v/>
      </c>
      <c r="D30" s="273">
        <f>IFERROR(VLOOKUP(A30,'Cadastro Geral Campistas'!$A:$R,10,0),"")</f>
        <v/>
      </c>
    </row>
    <row r="31" ht="18" customHeight="1" s="121">
      <c r="A31" s="210" t="n">
        <v>41</v>
      </c>
      <c r="B31" s="211">
        <f>IFERROR(VLOOKUP(A31,'Cadastro Geral Campistas'!$A:$R,2,0),"")</f>
        <v/>
      </c>
      <c r="C31" s="207">
        <f>IFERROR(VLOOKUP(A31,'Cadastro Geral Campistas'!$A:$R,17,0),"")</f>
        <v/>
      </c>
      <c r="D31" s="274">
        <f>IFERROR(VLOOKUP(A31,'Cadastro Geral Campistas'!$A:$R,10,0),"")</f>
        <v/>
      </c>
    </row>
    <row r="32" ht="18" customHeight="1" s="121">
      <c r="A32" s="271" t="n">
        <v>42</v>
      </c>
      <c r="B32" s="272">
        <f>IFERROR(VLOOKUP(A32,'Cadastro Geral Campistas'!$A:$R,2,0),"")</f>
        <v/>
      </c>
      <c r="C32" s="253">
        <f>IFERROR(VLOOKUP(A32,'Cadastro Geral Campistas'!$A:$R,17,0),"")</f>
        <v/>
      </c>
      <c r="D32" s="273">
        <f>IFERROR(VLOOKUP(A32,'Cadastro Geral Campistas'!$A:$R,10,0),"")</f>
        <v/>
      </c>
    </row>
    <row r="33" ht="18" customHeight="1" s="121">
      <c r="A33" s="210" t="n">
        <v>44</v>
      </c>
      <c r="B33" s="211">
        <f>IFERROR(VLOOKUP(A33,'Cadastro Geral Campistas'!$A:$R,2,0),"")</f>
        <v/>
      </c>
      <c r="C33" s="220">
        <f>IFERROR(VLOOKUP(A33,'Cadastro Geral Campistas'!$A:$R,17,0),"")</f>
        <v/>
      </c>
      <c r="D33" s="274">
        <f>IFERROR(VLOOKUP(A33,'Cadastro Geral Campistas'!$A:$R,10,0),"")</f>
        <v/>
      </c>
    </row>
    <row r="34" ht="18" customHeight="1" s="121">
      <c r="A34" s="271" t="n">
        <v>47</v>
      </c>
      <c r="B34" s="272">
        <f>IFERROR(VLOOKUP(A34,'Cadastro Geral Campistas'!$A:$R,2,0),"")</f>
        <v/>
      </c>
      <c r="C34" s="214">
        <f>IFERROR(VLOOKUP(A34,'Cadastro Geral Campistas'!$A:$R,17,0),"")</f>
        <v/>
      </c>
      <c r="D34" s="273">
        <f>IFERROR(VLOOKUP(A34,'Cadastro Geral Campistas'!$A:$R,10,0),"")</f>
        <v/>
      </c>
    </row>
    <row r="35" ht="18" customHeight="1" s="121">
      <c r="A35" s="210" t="n">
        <v>58</v>
      </c>
      <c r="B35" s="211">
        <f>IFERROR(VLOOKUP(A35,'Cadastro Geral Campistas'!$A:$R,2,0),"")</f>
        <v/>
      </c>
      <c r="C35" s="249">
        <f>IFERROR(VLOOKUP(A35,'Cadastro Geral Campistas'!$A:$R,17,0),"")</f>
        <v/>
      </c>
      <c r="D35" s="274">
        <f>IFERROR(VLOOKUP(A35,'Cadastro Geral Campistas'!$A:$R,10,0),"")</f>
        <v/>
      </c>
    </row>
    <row r="36" ht="18" customHeight="1" s="121">
      <c r="A36" s="271" t="n">
        <v>62</v>
      </c>
      <c r="B36" s="272">
        <f>IFERROR(VLOOKUP(A36,'Cadastro Geral Campistas'!$A:$R,2,0),"")</f>
        <v/>
      </c>
      <c r="C36" s="256">
        <f>IFERROR(VLOOKUP(A36,'Cadastro Geral Campistas'!$A:$R,17,0),"")</f>
        <v/>
      </c>
      <c r="D36" s="273">
        <f>IFERROR(VLOOKUP(A36,'Cadastro Geral Campistas'!$A:$R,10,0),"")</f>
        <v/>
      </c>
    </row>
    <row r="37" ht="18" customHeight="1" s="121">
      <c r="A37" s="210" t="n">
        <v>65</v>
      </c>
      <c r="B37" s="211">
        <f>IFERROR(VLOOKUP(A37,'Cadastro Geral Campistas'!$A:$R,2,0),"")</f>
        <v/>
      </c>
      <c r="C37" s="256">
        <f>IFERROR(VLOOKUP(A37,'Cadastro Geral Campistas'!$A:$R,17,0),"")</f>
        <v/>
      </c>
      <c r="D37" s="274">
        <f>IFERROR(VLOOKUP(A37,'Cadastro Geral Campistas'!$A:$R,10,0),"")</f>
        <v/>
      </c>
    </row>
    <row r="38" ht="18" customHeight="1" s="121">
      <c r="A38" s="271" t="n">
        <v>68</v>
      </c>
      <c r="B38" s="272">
        <f>IFERROR(VLOOKUP(A38,'Cadastro Geral Campistas'!$A:$R,2,0),"")</f>
        <v/>
      </c>
      <c r="C38" s="249">
        <f>IFERROR(VLOOKUP(A38,'Cadastro Geral Campistas'!$A:$R,17,0),"")</f>
        <v/>
      </c>
      <c r="D38" s="273">
        <f>IFERROR(VLOOKUP(A38,'Cadastro Geral Campistas'!$A:$R,10,0),"")</f>
        <v/>
      </c>
    </row>
    <row r="39" ht="18" customHeight="1" s="121">
      <c r="A39" s="210" t="n">
        <v>75</v>
      </c>
      <c r="B39" s="211">
        <f>IFERROR(VLOOKUP(A39,'Cadastro Geral Campistas'!$A:$R,2,0),"")</f>
        <v/>
      </c>
      <c r="C39" s="220">
        <f>IFERROR(VLOOKUP(A39,'Cadastro Geral Campistas'!$A:$R,17,0),"")</f>
        <v/>
      </c>
      <c r="D39" s="274">
        <f>IFERROR(VLOOKUP(A39,'Cadastro Geral Campistas'!$A:$R,10,0),"")</f>
        <v/>
      </c>
    </row>
    <row r="40" ht="18" customHeight="1" s="121">
      <c r="A40" s="271" t="n">
        <v>76</v>
      </c>
      <c r="B40" s="272">
        <f>IFERROR(VLOOKUP(A40,'Cadastro Geral Campistas'!$A:$R,2,0),"")</f>
        <v/>
      </c>
      <c r="C40" s="215">
        <f>IFERROR(VLOOKUP(A40,'Cadastro Geral Campistas'!$A:$R,17,0),"")</f>
        <v/>
      </c>
      <c r="D40" s="273">
        <f>IFERROR(VLOOKUP(A40,'Cadastro Geral Campistas'!$A:$R,10,0),"")</f>
        <v/>
      </c>
    </row>
    <row r="41" ht="18" customHeight="1" s="121">
      <c r="A41" s="210" t="n">
        <v>77</v>
      </c>
      <c r="B41" s="211">
        <f>IFERROR(VLOOKUP(A41,'Cadastro Geral Campistas'!$A:$R,2,0),"")</f>
        <v/>
      </c>
      <c r="C41" s="249">
        <f>IFERROR(VLOOKUP(A41,'Cadastro Geral Campistas'!$A:$R,17,0),"")</f>
        <v/>
      </c>
      <c r="D41" s="274">
        <f>IFERROR(VLOOKUP(A41,'Cadastro Geral Campistas'!$A:$R,10,0),"")</f>
        <v/>
      </c>
    </row>
    <row r="42" ht="18" customHeight="1" s="121">
      <c r="A42" s="271" t="n">
        <v>81</v>
      </c>
      <c r="B42" s="272">
        <f>IFERROR(VLOOKUP(A42,'Cadastro Geral Campistas'!$A:$R,2,0),"")</f>
        <v/>
      </c>
      <c r="C42" s="214">
        <f>IFERROR(VLOOKUP(A42,'Cadastro Geral Campistas'!$A:$R,17,0),"")</f>
        <v/>
      </c>
      <c r="D42" s="273">
        <f>IFERROR(VLOOKUP(A42,'Cadastro Geral Campistas'!$A:$R,10,0),"")</f>
        <v/>
      </c>
    </row>
    <row r="43" ht="18" customHeight="1" s="121">
      <c r="A43" s="210" t="n">
        <v>95</v>
      </c>
      <c r="B43" s="211">
        <f>IFERROR(VLOOKUP(A43,'Cadastro Geral Campistas'!$A:$R,2,0),"")</f>
        <v/>
      </c>
      <c r="C43" s="256">
        <f>IFERROR(VLOOKUP(A43,'Cadastro Geral Campistas'!$A:$R,17,0),"")</f>
        <v/>
      </c>
      <c r="D43" s="274">
        <f>IFERROR(VLOOKUP(A43,'Cadastro Geral Campistas'!$A:$R,10,0),"")</f>
        <v/>
      </c>
    </row>
    <row r="44" ht="18" customHeight="1" s="121">
      <c r="A44" s="271" t="n">
        <v>96</v>
      </c>
      <c r="B44" s="272">
        <f>IFERROR(VLOOKUP(A44,'Cadastro Geral Campistas'!$A:$R,2,0),"")</f>
        <v/>
      </c>
      <c r="C44" s="256">
        <f>IFERROR(VLOOKUP(A44,'Cadastro Geral Campistas'!$A:$R,17,0),"")</f>
        <v/>
      </c>
      <c r="D44" s="273">
        <f>IFERROR(VLOOKUP(A44,'Cadastro Geral Campistas'!$A:$R,10,0),"")</f>
        <v/>
      </c>
    </row>
    <row r="45" ht="18" customHeight="1" s="121">
      <c r="A45" s="210" t="n">
        <v>101</v>
      </c>
      <c r="B45" s="211">
        <f>IFERROR(VLOOKUP(A45,'Cadastro Geral Campistas'!$A:$R,2,0),"")</f>
        <v/>
      </c>
      <c r="C45" s="255">
        <f>IFERROR(VLOOKUP(A45,'Cadastro Geral Campistas'!$A:$R,17,0),"")</f>
        <v/>
      </c>
      <c r="D45" s="274">
        <f>IFERROR(VLOOKUP(A45,'Cadastro Geral Campistas'!$A:$R,10,0),"")</f>
        <v/>
      </c>
    </row>
    <row r="46" ht="18" customHeight="1" s="121">
      <c r="A46" s="271" t="n">
        <v>102</v>
      </c>
      <c r="B46" s="272">
        <f>IFERROR(VLOOKUP(A46,'Cadastro Geral Campistas'!$A:$R,2,0),"")</f>
        <v/>
      </c>
      <c r="C46" s="255">
        <f>IFERROR(VLOOKUP(A46,'Cadastro Geral Campistas'!$A:$R,17,0),"")</f>
        <v/>
      </c>
      <c r="D46" s="273">
        <f>IFERROR(VLOOKUP(A46,'Cadastro Geral Campistas'!$A:$R,10,0),"")</f>
        <v/>
      </c>
    </row>
    <row r="47" ht="18" customHeight="1" s="121">
      <c r="A47" s="210" t="n">
        <v>103</v>
      </c>
      <c r="B47" s="211">
        <f>IFERROR(VLOOKUP(A47,'Cadastro Geral Campistas'!$A:$R,2,0),"")</f>
        <v/>
      </c>
      <c r="C47" s="214">
        <f>IFERROR(VLOOKUP(A47,'Cadastro Geral Campistas'!$A:$R,17,0),"")</f>
        <v/>
      </c>
      <c r="D47" s="274">
        <f>IFERROR(VLOOKUP(A47,'Cadastro Geral Campistas'!$A:$R,10,0),"")</f>
        <v/>
      </c>
    </row>
    <row r="48" ht="18" customHeight="1" s="121">
      <c r="A48" s="271" t="n">
        <v>111</v>
      </c>
      <c r="B48" s="272">
        <f>IFERROR(VLOOKUP(A48,'Cadastro Geral Campistas'!$A:$R,2,0),"")</f>
        <v/>
      </c>
      <c r="C48" s="215">
        <f>IFERROR(VLOOKUP(A48,'Cadastro Geral Campistas'!$A:$R,17,0),"")</f>
        <v/>
      </c>
      <c r="D48" s="273">
        <f>IFERROR(VLOOKUP(A48,'Cadastro Geral Campistas'!$A:$R,10,0),"")</f>
        <v/>
      </c>
    </row>
    <row r="49" ht="18" customHeight="1" s="121">
      <c r="A49" s="210" t="n">
        <v>112</v>
      </c>
      <c r="B49" s="211">
        <f>IFERROR(VLOOKUP(A49,'Cadastro Geral Campistas'!$A:$R,2,0),"")</f>
        <v/>
      </c>
      <c r="C49" s="218">
        <f>IFERROR(VLOOKUP(A49,'Cadastro Geral Campistas'!$A:$R,17,0),"")</f>
        <v/>
      </c>
      <c r="D49" s="274">
        <f>IFERROR(VLOOKUP(A49,'Cadastro Geral Campistas'!$A:$R,10,0),"")</f>
        <v/>
      </c>
    </row>
    <row r="50" ht="18" customHeight="1" s="121">
      <c r="A50" s="271" t="n">
        <v>117</v>
      </c>
      <c r="B50" s="272">
        <f>IFERROR(VLOOKUP(A50,'Cadastro Geral Campistas'!$A:$R,2,0),"")</f>
        <v/>
      </c>
      <c r="C50" s="218">
        <f>IFERROR(VLOOKUP(A50,'Cadastro Geral Campistas'!$A:$R,17,0),"")</f>
        <v/>
      </c>
      <c r="D50" s="273">
        <f>IFERROR(VLOOKUP(A50,'Cadastro Geral Campistas'!$A:$R,10,0),"")</f>
        <v/>
      </c>
    </row>
    <row r="51" ht="18" customHeight="1" s="121">
      <c r="A51" s="210" t="n">
        <v>118</v>
      </c>
      <c r="B51" s="211">
        <f>IFERROR(VLOOKUP(A51,'Cadastro Geral Campistas'!$A:$R,2,0),"")</f>
        <v/>
      </c>
      <c r="C51" s="214">
        <f>IFERROR(VLOOKUP(A51,'Cadastro Geral Campistas'!$A:$R,17,0),"")</f>
        <v/>
      </c>
      <c r="D51" s="274">
        <f>IFERROR(VLOOKUP(A51,'Cadastro Geral Campistas'!$A:$R,10,0),"")</f>
        <v/>
      </c>
    </row>
    <row r="52" ht="18" customHeight="1" s="121">
      <c r="A52" s="271" t="n">
        <v>120</v>
      </c>
      <c r="B52" s="272">
        <f>IFERROR(VLOOKUP(A52,'Cadastro Geral Campistas'!$A:$R,2,0),"")</f>
        <v/>
      </c>
      <c r="C52" s="253">
        <f>IFERROR(VLOOKUP(A52,'Cadastro Geral Campistas'!$A:$R,17,0),"")</f>
        <v/>
      </c>
      <c r="D52" s="273">
        <f>IFERROR(VLOOKUP(A52,'Cadastro Geral Campistas'!$A:$R,10,0),"")</f>
        <v/>
      </c>
    </row>
    <row r="53" ht="18" customHeight="1" s="121">
      <c r="A53" s="210" t="n">
        <v>121</v>
      </c>
      <c r="B53" s="211">
        <f>IFERROR(VLOOKUP(A53,'Cadastro Geral Campistas'!$A:$R,2,0),"")</f>
        <v/>
      </c>
      <c r="C53" s="255">
        <f>IFERROR(VLOOKUP(A53,'Cadastro Geral Campistas'!$A:$R,17,0),"")</f>
        <v/>
      </c>
      <c r="D53" s="274">
        <f>IFERROR(VLOOKUP(A53,'Cadastro Geral Campistas'!$A:$R,10,0),"")</f>
        <v/>
      </c>
    </row>
    <row r="54" ht="18" customHeight="1" s="121">
      <c r="A54" s="271" t="n">
        <v>122</v>
      </c>
      <c r="B54" s="272">
        <f>IFERROR(VLOOKUP(A54,'Cadastro Geral Campistas'!$A:$R,2,0),"")</f>
        <v/>
      </c>
      <c r="C54" s="220">
        <f>IFERROR(VLOOKUP(A54,'Cadastro Geral Campistas'!$A:$R,17,0),"")</f>
        <v/>
      </c>
      <c r="D54" s="273">
        <f>IFERROR(VLOOKUP(A54,'Cadastro Geral Campistas'!$A:$R,10,0),"")</f>
        <v/>
      </c>
    </row>
    <row r="55" ht="18" customHeight="1" s="121">
      <c r="A55" s="210" t="n">
        <v>123</v>
      </c>
      <c r="B55" s="211">
        <f>IFERROR(VLOOKUP(A55,'Cadastro Geral Campistas'!$A:$R,2,0),"")</f>
        <v/>
      </c>
      <c r="C55" s="207">
        <f>IFERROR(VLOOKUP(A55,'Cadastro Geral Campistas'!$A:$R,17,0),"")</f>
        <v/>
      </c>
      <c r="D55" s="274">
        <f>IFERROR(VLOOKUP(A55,'Cadastro Geral Campistas'!$A:$R,10,0),"")</f>
        <v/>
      </c>
    </row>
    <row r="56" ht="18" customHeight="1" s="121">
      <c r="A56" s="271" t="n">
        <v>124</v>
      </c>
      <c r="B56" s="272">
        <f>IFERROR(VLOOKUP(A56,'Cadastro Geral Campistas'!$A:$R,2,0),"")</f>
        <v/>
      </c>
      <c r="C56" s="253">
        <f>IFERROR(VLOOKUP(A56,'Cadastro Geral Campistas'!$A:$R,17,0),"")</f>
        <v/>
      </c>
      <c r="D56" s="273">
        <f>IFERROR(VLOOKUP(A56,'Cadastro Geral Campistas'!$A:$R,10,0),"")</f>
        <v/>
      </c>
    </row>
    <row r="57" ht="18" customHeight="1" s="121">
      <c r="A57" s="210" t="n">
        <v>127</v>
      </c>
      <c r="B57" s="211">
        <f>IFERROR(VLOOKUP(A57,'Cadastro Geral Campistas'!$A:$R,2,0),"")</f>
        <v/>
      </c>
      <c r="C57" s="220">
        <f>IFERROR(VLOOKUP(A57,'Cadastro Geral Campistas'!$A:$R,17,0),"")</f>
        <v/>
      </c>
      <c r="D57" s="274">
        <f>IFERROR(VLOOKUP(A57,'Cadastro Geral Campistas'!$A:$R,10,0),"")</f>
        <v/>
      </c>
    </row>
    <row r="58" ht="18" customHeight="1" s="121">
      <c r="A58" s="271" t="n">
        <v>130</v>
      </c>
      <c r="B58" s="272">
        <f>IFERROR(VLOOKUP(A58,'Cadastro Geral Campistas'!$A:$R,2,0),"")</f>
        <v/>
      </c>
      <c r="C58" s="214">
        <f>IFERROR(VLOOKUP(A58,'Cadastro Geral Campistas'!$A:$R,17,0),"")</f>
        <v/>
      </c>
      <c r="D58" s="273">
        <f>IFERROR(VLOOKUP(A58,'Cadastro Geral Campistas'!$A:$R,10,0),"")</f>
        <v/>
      </c>
    </row>
    <row r="59" ht="18" customHeight="1" s="121">
      <c r="A59" s="210" t="n">
        <v>131</v>
      </c>
      <c r="B59" s="211">
        <f>IFERROR(VLOOKUP(A59,'Cadastro Geral Campistas'!$A:$R,2,0),"")</f>
        <v/>
      </c>
      <c r="C59" s="207">
        <f>IFERROR(VLOOKUP(A59,'Cadastro Geral Campistas'!$A:$R,17,0),"")</f>
        <v/>
      </c>
      <c r="D59" s="274">
        <f>IFERROR(VLOOKUP(A59,'Cadastro Geral Campistas'!$A:$R,10,0),"")</f>
        <v/>
      </c>
    </row>
    <row r="60" ht="18" customHeight="1" s="121">
      <c r="A60" s="271" t="n">
        <v>133</v>
      </c>
      <c r="B60" s="272">
        <f>IFERROR(VLOOKUP(A60,'Cadastro Geral Campistas'!$A:$R,2,0),"")</f>
        <v/>
      </c>
      <c r="C60" s="207">
        <f>IFERROR(VLOOKUP(A60,'Cadastro Geral Campistas'!$A:$R,17,0),"")</f>
        <v/>
      </c>
      <c r="D60" s="273">
        <f>IFERROR(VLOOKUP(A60,'Cadastro Geral Campistas'!$A:$R,10,0),"")</f>
        <v/>
      </c>
    </row>
    <row r="61" ht="18" customHeight="1" s="121">
      <c r="A61" s="210" t="n">
        <v>134</v>
      </c>
      <c r="B61" s="211">
        <f>IFERROR(VLOOKUP(A61,'Cadastro Geral Campistas'!$A:$R,2,0),"")</f>
        <v/>
      </c>
      <c r="C61" s="207">
        <f>IFERROR(VLOOKUP(A61,'Cadastro Geral Campistas'!$A:$R,17,0),"")</f>
        <v/>
      </c>
      <c r="D61" s="274">
        <f>IFERROR(VLOOKUP(A61,'Cadastro Geral Campistas'!$A:$R,10,0),"")</f>
        <v/>
      </c>
    </row>
    <row r="62" ht="18" customHeight="1" s="121">
      <c r="A62" s="271" t="n">
        <v>139</v>
      </c>
      <c r="B62" s="272">
        <f>IFERROR(VLOOKUP(A62,'Cadastro Geral Campistas'!$A:$R,2,0),"")</f>
        <v/>
      </c>
      <c r="C62" s="220">
        <f>IFERROR(VLOOKUP(A62,'Cadastro Geral Campistas'!$A:$R,17,0),"")</f>
        <v/>
      </c>
      <c r="D62" s="273">
        <f>IFERROR(VLOOKUP(A62,'Cadastro Geral Campistas'!$A:$R,10,0),"")</f>
        <v/>
      </c>
    </row>
    <row r="63" ht="18" customHeight="1" s="121">
      <c r="A63" s="210" t="n">
        <v>140</v>
      </c>
      <c r="B63" s="211">
        <f>IFERROR(VLOOKUP(A63,'Cadastro Geral Campistas'!$A:$R,2,0),"")</f>
        <v/>
      </c>
      <c r="C63" s="255">
        <f>IFERROR(VLOOKUP(A63,'Cadastro Geral Campistas'!$A:$R,17,0),"")</f>
        <v/>
      </c>
      <c r="D63" s="274">
        <f>IFERROR(VLOOKUP(A63,'Cadastro Geral Campistas'!$A:$R,10,0),"")</f>
        <v/>
      </c>
    </row>
    <row r="64" ht="18" customHeight="1" s="121">
      <c r="A64" s="271" t="n">
        <v>141</v>
      </c>
      <c r="B64" s="272">
        <f>IFERROR(VLOOKUP(A64,'Cadastro Geral Campistas'!$A:$R,2,0),"")</f>
        <v/>
      </c>
      <c r="C64" s="214">
        <f>IFERROR(VLOOKUP(A64,'Cadastro Geral Campistas'!$A:$R,17,0),"")</f>
        <v/>
      </c>
      <c r="D64" s="273">
        <f>IFERROR(VLOOKUP(A64,'Cadastro Geral Campistas'!$A:$R,10,0),"")</f>
        <v/>
      </c>
    </row>
    <row r="65" ht="18" customHeight="1" s="121">
      <c r="A65" s="210" t="n">
        <v>143</v>
      </c>
      <c r="B65" s="211">
        <f>IFERROR(VLOOKUP(A65,'Cadastro Geral Campistas'!$A:$R,2,0),"")</f>
        <v/>
      </c>
      <c r="C65" s="249">
        <f>IFERROR(VLOOKUP(A65,'Cadastro Geral Campistas'!$A:$R,17,0),"")</f>
        <v/>
      </c>
      <c r="D65" s="274">
        <f>IFERROR(VLOOKUP(A65,'Cadastro Geral Campistas'!$A:$R,10,0),"")</f>
        <v/>
      </c>
    </row>
  </sheetData>
  <mergeCells count="2">
    <mergeCell ref="A14:G14"/>
    <mergeCell ref="A1:G1"/>
  </mergeCells>
  <conditionalFormatting sqref="D3:D12">
    <cfRule type="expression" priority="1" dxfId="37" stopIfTrue="0">
      <formula>D3="Simeão"</formula>
    </cfRule>
    <cfRule type="expression" priority="2" dxfId="38" stopIfTrue="0">
      <formula>D3="Rubem"</formula>
    </cfRule>
    <cfRule type="expression" priority="3" dxfId="39" stopIfTrue="0">
      <formula>D3="Judá"</formula>
    </cfRule>
    <cfRule type="expression" priority="4" dxfId="40" stopIfTrue="0">
      <formula>D3="Levi"</formula>
    </cfRule>
    <cfRule type="expression" priority="5" dxfId="41" stopIfTrue="0">
      <formula>D3="Benjamim"</formula>
    </cfRule>
    <cfRule type="expression" priority="6" dxfId="42" stopIfTrue="0">
      <formula>D3="Issacar"</formula>
    </cfRule>
    <cfRule type="expression" priority="7" dxfId="43" stopIfTrue="0">
      <formula>D3="Gad"</formula>
    </cfRule>
    <cfRule type="expression" priority="8" dxfId="44" stopIfTrue="0">
      <formula>D3="Zabulom"</formula>
    </cfRule>
    <cfRule type="expression" priority="9" dxfId="45" stopIfTrue="0">
      <formula>D3="EFRAIM"</formula>
    </cfRule>
  </conditionalFormatting>
  <conditionalFormatting sqref="G3:G12">
    <cfRule type="expression" priority="10" dxfId="37" stopIfTrue="0">
      <formula>G3="Simeão"</formula>
    </cfRule>
    <cfRule type="expression" priority="11" dxfId="38" stopIfTrue="0">
      <formula>G3="Rubem"</formula>
    </cfRule>
    <cfRule type="expression" priority="12" dxfId="39" stopIfTrue="0">
      <formula>G3="Judá"</formula>
    </cfRule>
    <cfRule type="expression" priority="13" dxfId="40" stopIfTrue="0">
      <formula>G3="Levi"</formula>
    </cfRule>
    <cfRule type="expression" priority="14" dxfId="41" stopIfTrue="0">
      <formula>G3="Benjamim"</formula>
    </cfRule>
    <cfRule type="expression" priority="15" dxfId="42" stopIfTrue="0">
      <formula>G3="Issacar"</formula>
    </cfRule>
    <cfRule type="expression" priority="16" dxfId="43" stopIfTrue="0">
      <formula>G3="Gad"</formula>
    </cfRule>
    <cfRule type="expression" priority="17" dxfId="44" stopIfTrue="0">
      <formula>G3="Zabulom"</formula>
    </cfRule>
    <cfRule type="expression" priority="18" dxfId="45" stopIfTrue="0">
      <formula>G3="EFRAIM"</formula>
    </cfRule>
  </conditionalFormatting>
  <conditionalFormatting sqref="C16:C65">
    <cfRule type="expression" priority="19" dxfId="37" stopIfTrue="0">
      <formula>C16="Simeão"</formula>
    </cfRule>
    <cfRule type="expression" priority="20" dxfId="38" stopIfTrue="0">
      <formula>C16="Rubem"</formula>
    </cfRule>
    <cfRule type="expression" priority="21" dxfId="39" stopIfTrue="0">
      <formula>C16="Judá"</formula>
    </cfRule>
    <cfRule type="expression" priority="22" dxfId="40" stopIfTrue="0">
      <formula>C16="Levi"</formula>
    </cfRule>
    <cfRule type="expression" priority="23" dxfId="41" stopIfTrue="0">
      <formula>C16="Benjamim"</formula>
    </cfRule>
    <cfRule type="expression" priority="24" dxfId="42" stopIfTrue="0">
      <formula>C16="Issacar"</formula>
    </cfRule>
    <cfRule type="expression" priority="25" dxfId="43" stopIfTrue="0">
      <formula>C16="Gad"</formula>
    </cfRule>
    <cfRule type="expression" priority="26" dxfId="44" stopIfTrue="0">
      <formula>C16="Zabulom"</formula>
    </cfRule>
    <cfRule type="expression" priority="27" dxfId="45" stopIfTrue="0">
      <formula>C16="EFRAIM"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2026-04-14T21:57:47Z</dcterms:created>
  <dcterms:modified xmlns:dcterms="http://purl.org/dc/terms/" xmlns:xsi="http://www.w3.org/2001/XMLSchema-instance" xsi:type="dcterms:W3CDTF">2026-04-16T18:05:43Z</dcterms:modified>
  <cp:lastModifiedBy>Maynara</cp:lastModifiedBy>
  <cp:lastPrinted>2026-04-14T23:40:47Z</cp:lastPrinted>
</cp:coreProperties>
</file>