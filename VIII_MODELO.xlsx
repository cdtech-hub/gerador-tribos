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ynara\Desktop\"/>
    </mc:Choice>
  </mc:AlternateContent>
  <xr:revisionPtr revIDLastSave="0" documentId="8_{92D4CB2F-D019-4C64-8102-2F2D290868D4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Cadastro Geral Campistas" sheetId="1" r:id="rId1"/>
    <sheet name="Relatorio Familia Provas" sheetId="2" r:id="rId2"/>
    <sheet name="Relatorio Chamada Onibus" sheetId="3" r:id="rId3"/>
    <sheet name="CONFLITO CONHECIDOS" sheetId="4" r:id="rId4"/>
  </sheets>
  <definedNames>
    <definedName name="_xlnm.Print_Area" localSheetId="1">'Relatorio Familia Provas'!$A$1:$J$315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4" i="2" l="1"/>
  <c r="I304" i="2"/>
  <c r="H304" i="2"/>
  <c r="G304" i="2"/>
  <c r="F304" i="2"/>
  <c r="E304" i="2"/>
  <c r="D304" i="2"/>
  <c r="C304" i="2"/>
  <c r="B304" i="2"/>
  <c r="J303" i="2"/>
  <c r="I303" i="2"/>
  <c r="H303" i="2"/>
  <c r="G303" i="2"/>
  <c r="F303" i="2"/>
  <c r="E303" i="2"/>
  <c r="D303" i="2"/>
  <c r="C303" i="2"/>
  <c r="B303" i="2"/>
  <c r="J302" i="2"/>
  <c r="I302" i="2"/>
  <c r="H302" i="2"/>
  <c r="G302" i="2"/>
  <c r="F302" i="2"/>
  <c r="E302" i="2"/>
  <c r="D302" i="2"/>
  <c r="C302" i="2"/>
  <c r="B302" i="2"/>
  <c r="J301" i="2"/>
  <c r="I301" i="2"/>
  <c r="H301" i="2"/>
  <c r="G301" i="2"/>
  <c r="F301" i="2"/>
  <c r="E301" i="2"/>
  <c r="D301" i="2"/>
  <c r="C301" i="2"/>
  <c r="B301" i="2"/>
  <c r="J300" i="2"/>
  <c r="I300" i="2"/>
  <c r="H300" i="2"/>
  <c r="G300" i="2"/>
  <c r="F300" i="2"/>
  <c r="E300" i="2"/>
  <c r="D300" i="2"/>
  <c r="C300" i="2"/>
  <c r="B300" i="2"/>
  <c r="J299" i="2"/>
  <c r="I299" i="2"/>
  <c r="H299" i="2"/>
  <c r="G299" i="2"/>
  <c r="F299" i="2"/>
  <c r="E299" i="2"/>
  <c r="D299" i="2"/>
  <c r="C299" i="2"/>
  <c r="B299" i="2"/>
  <c r="J298" i="2"/>
  <c r="I298" i="2"/>
  <c r="H298" i="2"/>
  <c r="G298" i="2"/>
  <c r="F298" i="2"/>
  <c r="E298" i="2"/>
  <c r="D298" i="2"/>
  <c r="C298" i="2"/>
  <c r="B298" i="2"/>
  <c r="J297" i="2"/>
  <c r="I297" i="2"/>
  <c r="H297" i="2"/>
  <c r="G297" i="2"/>
  <c r="F297" i="2"/>
  <c r="E297" i="2"/>
  <c r="D297" i="2"/>
  <c r="C297" i="2"/>
  <c r="B297" i="2"/>
  <c r="J296" i="2"/>
  <c r="I296" i="2"/>
  <c r="H296" i="2"/>
  <c r="G296" i="2"/>
  <c r="F296" i="2"/>
  <c r="E296" i="2"/>
  <c r="D296" i="2"/>
  <c r="C296" i="2"/>
  <c r="B296" i="2"/>
  <c r="J295" i="2"/>
  <c r="I295" i="2"/>
  <c r="H295" i="2"/>
  <c r="G295" i="2"/>
  <c r="F295" i="2"/>
  <c r="E295" i="2"/>
  <c r="D295" i="2"/>
  <c r="C295" i="2"/>
  <c r="B295" i="2"/>
  <c r="J294" i="2"/>
  <c r="I294" i="2"/>
  <c r="H294" i="2"/>
  <c r="G294" i="2"/>
  <c r="F294" i="2"/>
  <c r="E294" i="2"/>
  <c r="D294" i="2"/>
  <c r="C294" i="2"/>
  <c r="B294" i="2"/>
  <c r="J293" i="2"/>
  <c r="I293" i="2"/>
  <c r="H293" i="2"/>
  <c r="G293" i="2"/>
  <c r="F293" i="2"/>
  <c r="E293" i="2"/>
  <c r="D293" i="2"/>
  <c r="C293" i="2"/>
  <c r="B293" i="2"/>
  <c r="J292" i="2"/>
  <c r="I292" i="2"/>
  <c r="H292" i="2"/>
  <c r="G292" i="2"/>
  <c r="F292" i="2"/>
  <c r="E292" i="2"/>
  <c r="D292" i="2"/>
  <c r="C292" i="2"/>
  <c r="B292" i="2"/>
  <c r="J291" i="2"/>
  <c r="I291" i="2"/>
  <c r="H291" i="2"/>
  <c r="G291" i="2"/>
  <c r="F291" i="2"/>
  <c r="E291" i="2"/>
  <c r="D291" i="2"/>
  <c r="C291" i="2"/>
  <c r="B291" i="2"/>
  <c r="J290" i="2"/>
  <c r="I290" i="2"/>
  <c r="H290" i="2"/>
  <c r="G290" i="2"/>
  <c r="F290" i="2"/>
  <c r="E290" i="2"/>
  <c r="D290" i="2"/>
  <c r="C290" i="2"/>
  <c r="B290" i="2"/>
  <c r="J289" i="2"/>
  <c r="I305" i="2" s="1"/>
  <c r="I289" i="2"/>
  <c r="H289" i="2"/>
  <c r="G289" i="2"/>
  <c r="F289" i="2"/>
  <c r="E289" i="2"/>
  <c r="E305" i="2" s="1"/>
  <c r="D289" i="2"/>
  <c r="C289" i="2"/>
  <c r="C305" i="2" s="1"/>
  <c r="B289" i="2"/>
  <c r="J269" i="2"/>
  <c r="I269" i="2"/>
  <c r="H269" i="2"/>
  <c r="G269" i="2"/>
  <c r="F269" i="2"/>
  <c r="E269" i="2"/>
  <c r="D269" i="2"/>
  <c r="C269" i="2"/>
  <c r="B269" i="2"/>
  <c r="J268" i="2"/>
  <c r="I268" i="2"/>
  <c r="H268" i="2"/>
  <c r="G268" i="2"/>
  <c r="F268" i="2"/>
  <c r="E268" i="2"/>
  <c r="D268" i="2"/>
  <c r="C268" i="2"/>
  <c r="B268" i="2"/>
  <c r="J267" i="2"/>
  <c r="I267" i="2"/>
  <c r="H267" i="2"/>
  <c r="G267" i="2"/>
  <c r="F267" i="2"/>
  <c r="E267" i="2"/>
  <c r="D267" i="2"/>
  <c r="C267" i="2"/>
  <c r="B267" i="2"/>
  <c r="J266" i="2"/>
  <c r="I266" i="2"/>
  <c r="H266" i="2"/>
  <c r="G266" i="2"/>
  <c r="F266" i="2"/>
  <c r="E266" i="2"/>
  <c r="D266" i="2"/>
  <c r="C266" i="2"/>
  <c r="B266" i="2"/>
  <c r="J265" i="2"/>
  <c r="I265" i="2"/>
  <c r="H265" i="2"/>
  <c r="G265" i="2"/>
  <c r="F265" i="2"/>
  <c r="E265" i="2"/>
  <c r="D265" i="2"/>
  <c r="C265" i="2"/>
  <c r="B265" i="2"/>
  <c r="J264" i="2"/>
  <c r="I264" i="2"/>
  <c r="H264" i="2"/>
  <c r="G264" i="2"/>
  <c r="F264" i="2"/>
  <c r="E264" i="2"/>
  <c r="D264" i="2"/>
  <c r="C264" i="2"/>
  <c r="B264" i="2"/>
  <c r="J263" i="2"/>
  <c r="I263" i="2"/>
  <c r="H263" i="2"/>
  <c r="G263" i="2"/>
  <c r="F263" i="2"/>
  <c r="E263" i="2"/>
  <c r="D263" i="2"/>
  <c r="C263" i="2"/>
  <c r="B263" i="2"/>
  <c r="J262" i="2"/>
  <c r="I262" i="2"/>
  <c r="H262" i="2"/>
  <c r="G262" i="2"/>
  <c r="F262" i="2"/>
  <c r="E262" i="2"/>
  <c r="D262" i="2"/>
  <c r="C262" i="2"/>
  <c r="B262" i="2"/>
  <c r="J261" i="2"/>
  <c r="I261" i="2"/>
  <c r="H261" i="2"/>
  <c r="G261" i="2"/>
  <c r="F261" i="2"/>
  <c r="E261" i="2"/>
  <c r="D261" i="2"/>
  <c r="C261" i="2"/>
  <c r="B261" i="2"/>
  <c r="J260" i="2"/>
  <c r="I260" i="2"/>
  <c r="H260" i="2"/>
  <c r="G260" i="2"/>
  <c r="F260" i="2"/>
  <c r="E260" i="2"/>
  <c r="D260" i="2"/>
  <c r="C260" i="2"/>
  <c r="B260" i="2"/>
  <c r="J259" i="2"/>
  <c r="I259" i="2"/>
  <c r="H259" i="2"/>
  <c r="G259" i="2"/>
  <c r="F259" i="2"/>
  <c r="E259" i="2"/>
  <c r="D259" i="2"/>
  <c r="C259" i="2"/>
  <c r="B259" i="2"/>
  <c r="J258" i="2"/>
  <c r="I258" i="2"/>
  <c r="H258" i="2"/>
  <c r="G258" i="2"/>
  <c r="F258" i="2"/>
  <c r="E258" i="2"/>
  <c r="D258" i="2"/>
  <c r="C258" i="2"/>
  <c r="B258" i="2"/>
  <c r="J257" i="2"/>
  <c r="I257" i="2"/>
  <c r="H257" i="2"/>
  <c r="G257" i="2"/>
  <c r="F257" i="2"/>
  <c r="E257" i="2"/>
  <c r="D257" i="2"/>
  <c r="C257" i="2"/>
  <c r="C270" i="2" s="1"/>
  <c r="B257" i="2"/>
  <c r="J256" i="2"/>
  <c r="I256" i="2"/>
  <c r="H256" i="2"/>
  <c r="G256" i="2"/>
  <c r="F256" i="2"/>
  <c r="E256" i="2"/>
  <c r="D256" i="2"/>
  <c r="C256" i="2"/>
  <c r="B256" i="2"/>
  <c r="J255" i="2"/>
  <c r="I255" i="2"/>
  <c r="H255" i="2"/>
  <c r="G255" i="2"/>
  <c r="F255" i="2"/>
  <c r="E255" i="2"/>
  <c r="E270" i="2" s="1"/>
  <c r="D255" i="2"/>
  <c r="C255" i="2"/>
  <c r="B255" i="2"/>
  <c r="J254" i="2"/>
  <c r="I270" i="2" s="1"/>
  <c r="I254" i="2"/>
  <c r="H254" i="2"/>
  <c r="G254" i="2"/>
  <c r="F254" i="2"/>
  <c r="E254" i="2"/>
  <c r="D254" i="2"/>
  <c r="C254" i="2"/>
  <c r="B254" i="2"/>
  <c r="J234" i="2"/>
  <c r="I234" i="2"/>
  <c r="H234" i="2"/>
  <c r="G234" i="2"/>
  <c r="F234" i="2"/>
  <c r="E234" i="2"/>
  <c r="D234" i="2"/>
  <c r="C234" i="2"/>
  <c r="B234" i="2"/>
  <c r="J233" i="2"/>
  <c r="I233" i="2"/>
  <c r="H233" i="2"/>
  <c r="G233" i="2"/>
  <c r="F233" i="2"/>
  <c r="E233" i="2"/>
  <c r="D233" i="2"/>
  <c r="C233" i="2"/>
  <c r="B233" i="2"/>
  <c r="J232" i="2"/>
  <c r="I232" i="2"/>
  <c r="H232" i="2"/>
  <c r="G232" i="2"/>
  <c r="F232" i="2"/>
  <c r="E232" i="2"/>
  <c r="D232" i="2"/>
  <c r="C232" i="2"/>
  <c r="B232" i="2"/>
  <c r="J231" i="2"/>
  <c r="I231" i="2"/>
  <c r="H231" i="2"/>
  <c r="G231" i="2"/>
  <c r="F231" i="2"/>
  <c r="E231" i="2"/>
  <c r="D231" i="2"/>
  <c r="C231" i="2"/>
  <c r="B231" i="2"/>
  <c r="J230" i="2"/>
  <c r="I230" i="2"/>
  <c r="H230" i="2"/>
  <c r="G230" i="2"/>
  <c r="F230" i="2"/>
  <c r="E230" i="2"/>
  <c r="D230" i="2"/>
  <c r="C230" i="2"/>
  <c r="B230" i="2"/>
  <c r="J229" i="2"/>
  <c r="I229" i="2"/>
  <c r="H229" i="2"/>
  <c r="G229" i="2"/>
  <c r="F229" i="2"/>
  <c r="E229" i="2"/>
  <c r="D229" i="2"/>
  <c r="C229" i="2"/>
  <c r="B229" i="2"/>
  <c r="J228" i="2"/>
  <c r="I228" i="2"/>
  <c r="H228" i="2"/>
  <c r="G228" i="2"/>
  <c r="F228" i="2"/>
  <c r="E228" i="2"/>
  <c r="D228" i="2"/>
  <c r="C228" i="2"/>
  <c r="B228" i="2"/>
  <c r="J227" i="2"/>
  <c r="I227" i="2"/>
  <c r="H227" i="2"/>
  <c r="G227" i="2"/>
  <c r="F227" i="2"/>
  <c r="E227" i="2"/>
  <c r="D227" i="2"/>
  <c r="C227" i="2"/>
  <c r="B227" i="2"/>
  <c r="J226" i="2"/>
  <c r="I226" i="2"/>
  <c r="H226" i="2"/>
  <c r="G226" i="2"/>
  <c r="F226" i="2"/>
  <c r="E226" i="2"/>
  <c r="D226" i="2"/>
  <c r="C226" i="2"/>
  <c r="B226" i="2"/>
  <c r="J225" i="2"/>
  <c r="I225" i="2"/>
  <c r="H225" i="2"/>
  <c r="G225" i="2"/>
  <c r="F225" i="2"/>
  <c r="E225" i="2"/>
  <c r="D225" i="2"/>
  <c r="C225" i="2"/>
  <c r="C235" i="2" s="1"/>
  <c r="B225" i="2"/>
  <c r="J224" i="2"/>
  <c r="I224" i="2"/>
  <c r="H224" i="2"/>
  <c r="G224" i="2"/>
  <c r="F224" i="2"/>
  <c r="E224" i="2"/>
  <c r="D224" i="2"/>
  <c r="C224" i="2"/>
  <c r="B224" i="2"/>
  <c r="J223" i="2"/>
  <c r="I223" i="2"/>
  <c r="H223" i="2"/>
  <c r="G223" i="2"/>
  <c r="F223" i="2"/>
  <c r="E223" i="2"/>
  <c r="E235" i="2" s="1"/>
  <c r="D223" i="2"/>
  <c r="C223" i="2"/>
  <c r="B223" i="2"/>
  <c r="J222" i="2"/>
  <c r="I222" i="2"/>
  <c r="H222" i="2"/>
  <c r="G222" i="2"/>
  <c r="F222" i="2"/>
  <c r="E222" i="2"/>
  <c r="D222" i="2"/>
  <c r="C222" i="2"/>
  <c r="B222" i="2"/>
  <c r="J221" i="2"/>
  <c r="I221" i="2"/>
  <c r="H221" i="2"/>
  <c r="G221" i="2"/>
  <c r="F221" i="2"/>
  <c r="E221" i="2"/>
  <c r="D221" i="2"/>
  <c r="C221" i="2"/>
  <c r="B221" i="2"/>
  <c r="J220" i="2"/>
  <c r="I220" i="2"/>
  <c r="H220" i="2"/>
  <c r="G220" i="2"/>
  <c r="F220" i="2"/>
  <c r="E220" i="2"/>
  <c r="D220" i="2"/>
  <c r="C220" i="2"/>
  <c r="B220" i="2"/>
  <c r="J219" i="2"/>
  <c r="I235" i="2" s="1"/>
  <c r="I219" i="2"/>
  <c r="H219" i="2"/>
  <c r="G219" i="2"/>
  <c r="F219" i="2"/>
  <c r="E219" i="2"/>
  <c r="D219" i="2"/>
  <c r="C219" i="2"/>
  <c r="B219" i="2"/>
  <c r="J199" i="2"/>
  <c r="I199" i="2"/>
  <c r="H199" i="2"/>
  <c r="G199" i="2"/>
  <c r="F199" i="2"/>
  <c r="E199" i="2"/>
  <c r="D199" i="2"/>
  <c r="C199" i="2"/>
  <c r="B199" i="2"/>
  <c r="J198" i="2"/>
  <c r="I198" i="2"/>
  <c r="H198" i="2"/>
  <c r="G198" i="2"/>
  <c r="F198" i="2"/>
  <c r="E198" i="2"/>
  <c r="D198" i="2"/>
  <c r="C198" i="2"/>
  <c r="B198" i="2"/>
  <c r="J197" i="2"/>
  <c r="I197" i="2"/>
  <c r="H197" i="2"/>
  <c r="G197" i="2"/>
  <c r="F197" i="2"/>
  <c r="E197" i="2"/>
  <c r="D197" i="2"/>
  <c r="C197" i="2"/>
  <c r="B197" i="2"/>
  <c r="J196" i="2"/>
  <c r="I196" i="2"/>
  <c r="H196" i="2"/>
  <c r="G196" i="2"/>
  <c r="F196" i="2"/>
  <c r="E196" i="2"/>
  <c r="D196" i="2"/>
  <c r="C196" i="2"/>
  <c r="B196" i="2"/>
  <c r="J195" i="2"/>
  <c r="I195" i="2"/>
  <c r="H195" i="2"/>
  <c r="G195" i="2"/>
  <c r="F195" i="2"/>
  <c r="E195" i="2"/>
  <c r="D195" i="2"/>
  <c r="C195" i="2"/>
  <c r="B195" i="2"/>
  <c r="J194" i="2"/>
  <c r="I194" i="2"/>
  <c r="H194" i="2"/>
  <c r="G194" i="2"/>
  <c r="F194" i="2"/>
  <c r="E194" i="2"/>
  <c r="D194" i="2"/>
  <c r="C194" i="2"/>
  <c r="B194" i="2"/>
  <c r="J193" i="2"/>
  <c r="I193" i="2"/>
  <c r="H193" i="2"/>
  <c r="G193" i="2"/>
  <c r="F193" i="2"/>
  <c r="E193" i="2"/>
  <c r="D193" i="2"/>
  <c r="C193" i="2"/>
  <c r="B193" i="2"/>
  <c r="J192" i="2"/>
  <c r="I192" i="2"/>
  <c r="H192" i="2"/>
  <c r="G192" i="2"/>
  <c r="F192" i="2"/>
  <c r="E192" i="2"/>
  <c r="D192" i="2"/>
  <c r="C192" i="2"/>
  <c r="B192" i="2"/>
  <c r="J191" i="2"/>
  <c r="I191" i="2"/>
  <c r="H191" i="2"/>
  <c r="G191" i="2"/>
  <c r="F191" i="2"/>
  <c r="E191" i="2"/>
  <c r="D191" i="2"/>
  <c r="C191" i="2"/>
  <c r="B191" i="2"/>
  <c r="J190" i="2"/>
  <c r="I190" i="2"/>
  <c r="H190" i="2"/>
  <c r="G190" i="2"/>
  <c r="F190" i="2"/>
  <c r="E190" i="2"/>
  <c r="D190" i="2"/>
  <c r="C190" i="2"/>
  <c r="B190" i="2"/>
  <c r="J189" i="2"/>
  <c r="I189" i="2"/>
  <c r="H189" i="2"/>
  <c r="G189" i="2"/>
  <c r="F189" i="2"/>
  <c r="E189" i="2"/>
  <c r="D189" i="2"/>
  <c r="C189" i="2"/>
  <c r="B189" i="2"/>
  <c r="J188" i="2"/>
  <c r="I188" i="2"/>
  <c r="H188" i="2"/>
  <c r="G188" i="2"/>
  <c r="F188" i="2"/>
  <c r="E188" i="2"/>
  <c r="D188" i="2"/>
  <c r="C188" i="2"/>
  <c r="B188" i="2"/>
  <c r="J187" i="2"/>
  <c r="I187" i="2"/>
  <c r="H187" i="2"/>
  <c r="G187" i="2"/>
  <c r="F187" i="2"/>
  <c r="E187" i="2"/>
  <c r="D187" i="2"/>
  <c r="C187" i="2"/>
  <c r="B187" i="2"/>
  <c r="J186" i="2"/>
  <c r="I200" i="2" s="1"/>
  <c r="I186" i="2"/>
  <c r="H186" i="2"/>
  <c r="G186" i="2"/>
  <c r="F186" i="2"/>
  <c r="E186" i="2"/>
  <c r="D186" i="2"/>
  <c r="C186" i="2"/>
  <c r="B186" i="2"/>
  <c r="J185" i="2"/>
  <c r="I185" i="2"/>
  <c r="H185" i="2"/>
  <c r="G185" i="2"/>
  <c r="F185" i="2"/>
  <c r="E185" i="2"/>
  <c r="D185" i="2"/>
  <c r="C185" i="2"/>
  <c r="B185" i="2"/>
  <c r="J184" i="2"/>
  <c r="I184" i="2"/>
  <c r="H184" i="2"/>
  <c r="G184" i="2"/>
  <c r="F184" i="2"/>
  <c r="E184" i="2"/>
  <c r="E200" i="2" s="1"/>
  <c r="D184" i="2"/>
  <c r="C184" i="2"/>
  <c r="C200" i="2" s="1"/>
  <c r="B184" i="2"/>
  <c r="J164" i="2"/>
  <c r="I164" i="2"/>
  <c r="H164" i="2"/>
  <c r="G164" i="2"/>
  <c r="F164" i="2"/>
  <c r="E164" i="2"/>
  <c r="D164" i="2"/>
  <c r="C164" i="2"/>
  <c r="B164" i="2"/>
  <c r="J163" i="2"/>
  <c r="I163" i="2"/>
  <c r="H163" i="2"/>
  <c r="G163" i="2"/>
  <c r="F163" i="2"/>
  <c r="E163" i="2"/>
  <c r="D163" i="2"/>
  <c r="C163" i="2"/>
  <c r="B163" i="2"/>
  <c r="J162" i="2"/>
  <c r="I162" i="2"/>
  <c r="H162" i="2"/>
  <c r="G162" i="2"/>
  <c r="F162" i="2"/>
  <c r="E162" i="2"/>
  <c r="D162" i="2"/>
  <c r="C162" i="2"/>
  <c r="B162" i="2"/>
  <c r="J161" i="2"/>
  <c r="I161" i="2"/>
  <c r="H161" i="2"/>
  <c r="G161" i="2"/>
  <c r="F161" i="2"/>
  <c r="E161" i="2"/>
  <c r="D161" i="2"/>
  <c r="C161" i="2"/>
  <c r="B161" i="2"/>
  <c r="J160" i="2"/>
  <c r="I160" i="2"/>
  <c r="H160" i="2"/>
  <c r="G160" i="2"/>
  <c r="F160" i="2"/>
  <c r="E160" i="2"/>
  <c r="D160" i="2"/>
  <c r="C160" i="2"/>
  <c r="B160" i="2"/>
  <c r="J159" i="2"/>
  <c r="I159" i="2"/>
  <c r="H159" i="2"/>
  <c r="G159" i="2"/>
  <c r="F159" i="2"/>
  <c r="E159" i="2"/>
  <c r="D159" i="2"/>
  <c r="C159" i="2"/>
  <c r="B159" i="2"/>
  <c r="J158" i="2"/>
  <c r="I158" i="2"/>
  <c r="H158" i="2"/>
  <c r="G158" i="2"/>
  <c r="F158" i="2"/>
  <c r="E158" i="2"/>
  <c r="D158" i="2"/>
  <c r="C158" i="2"/>
  <c r="B158" i="2"/>
  <c r="J157" i="2"/>
  <c r="I157" i="2"/>
  <c r="H157" i="2"/>
  <c r="G157" i="2"/>
  <c r="F157" i="2"/>
  <c r="E157" i="2"/>
  <c r="D157" i="2"/>
  <c r="C157" i="2"/>
  <c r="B157" i="2"/>
  <c r="J156" i="2"/>
  <c r="I156" i="2"/>
  <c r="H156" i="2"/>
  <c r="G156" i="2"/>
  <c r="F156" i="2"/>
  <c r="E156" i="2"/>
  <c r="D156" i="2"/>
  <c r="C156" i="2"/>
  <c r="B156" i="2"/>
  <c r="J155" i="2"/>
  <c r="I155" i="2"/>
  <c r="H155" i="2"/>
  <c r="G155" i="2"/>
  <c r="F155" i="2"/>
  <c r="E155" i="2"/>
  <c r="D155" i="2"/>
  <c r="C155" i="2"/>
  <c r="B155" i="2"/>
  <c r="J154" i="2"/>
  <c r="I154" i="2"/>
  <c r="H154" i="2"/>
  <c r="G154" i="2"/>
  <c r="F154" i="2"/>
  <c r="E154" i="2"/>
  <c r="D154" i="2"/>
  <c r="C154" i="2"/>
  <c r="B154" i="2"/>
  <c r="J153" i="2"/>
  <c r="I153" i="2"/>
  <c r="H153" i="2"/>
  <c r="G153" i="2"/>
  <c r="F153" i="2"/>
  <c r="E153" i="2"/>
  <c r="D153" i="2"/>
  <c r="C153" i="2"/>
  <c r="C165" i="2" s="1"/>
  <c r="B153" i="2"/>
  <c r="J152" i="2"/>
  <c r="I152" i="2"/>
  <c r="H152" i="2"/>
  <c r="G152" i="2"/>
  <c r="F152" i="2"/>
  <c r="E152" i="2"/>
  <c r="D152" i="2"/>
  <c r="C152" i="2"/>
  <c r="B152" i="2"/>
  <c r="J151" i="2"/>
  <c r="I151" i="2"/>
  <c r="H151" i="2"/>
  <c r="G151" i="2"/>
  <c r="F151" i="2"/>
  <c r="E151" i="2"/>
  <c r="E165" i="2" s="1"/>
  <c r="D151" i="2"/>
  <c r="C151" i="2"/>
  <c r="B151" i="2"/>
  <c r="J150" i="2"/>
  <c r="I150" i="2"/>
  <c r="H150" i="2"/>
  <c r="G150" i="2"/>
  <c r="F150" i="2"/>
  <c r="E150" i="2"/>
  <c r="D150" i="2"/>
  <c r="C150" i="2"/>
  <c r="B150" i="2"/>
  <c r="J149" i="2"/>
  <c r="I165" i="2" s="1"/>
  <c r="I149" i="2"/>
  <c r="H149" i="2"/>
  <c r="G149" i="2"/>
  <c r="F149" i="2"/>
  <c r="E149" i="2"/>
  <c r="D149" i="2"/>
  <c r="C149" i="2"/>
  <c r="B149" i="2"/>
  <c r="J129" i="2"/>
  <c r="I129" i="2"/>
  <c r="H129" i="2"/>
  <c r="G129" i="2"/>
  <c r="F129" i="2"/>
  <c r="E129" i="2"/>
  <c r="D129" i="2"/>
  <c r="C129" i="2"/>
  <c r="B129" i="2"/>
  <c r="J128" i="2"/>
  <c r="I128" i="2"/>
  <c r="H128" i="2"/>
  <c r="G128" i="2"/>
  <c r="F128" i="2"/>
  <c r="E128" i="2"/>
  <c r="D128" i="2"/>
  <c r="C128" i="2"/>
  <c r="B128" i="2"/>
  <c r="J127" i="2"/>
  <c r="I127" i="2"/>
  <c r="H127" i="2"/>
  <c r="G127" i="2"/>
  <c r="F127" i="2"/>
  <c r="E127" i="2"/>
  <c r="D127" i="2"/>
  <c r="C127" i="2"/>
  <c r="B127" i="2"/>
  <c r="J126" i="2"/>
  <c r="I126" i="2"/>
  <c r="H126" i="2"/>
  <c r="G126" i="2"/>
  <c r="F126" i="2"/>
  <c r="E126" i="2"/>
  <c r="D126" i="2"/>
  <c r="C126" i="2"/>
  <c r="B126" i="2"/>
  <c r="J125" i="2"/>
  <c r="I125" i="2"/>
  <c r="H125" i="2"/>
  <c r="G125" i="2"/>
  <c r="F125" i="2"/>
  <c r="E125" i="2"/>
  <c r="D125" i="2"/>
  <c r="C125" i="2"/>
  <c r="B125" i="2"/>
  <c r="J124" i="2"/>
  <c r="I124" i="2"/>
  <c r="H124" i="2"/>
  <c r="G124" i="2"/>
  <c r="F124" i="2"/>
  <c r="E124" i="2"/>
  <c r="D124" i="2"/>
  <c r="C124" i="2"/>
  <c r="B124" i="2"/>
  <c r="J123" i="2"/>
  <c r="I123" i="2"/>
  <c r="H123" i="2"/>
  <c r="G123" i="2"/>
  <c r="F123" i="2"/>
  <c r="E123" i="2"/>
  <c r="D123" i="2"/>
  <c r="C123" i="2"/>
  <c r="B123" i="2"/>
  <c r="J122" i="2"/>
  <c r="I122" i="2"/>
  <c r="H122" i="2"/>
  <c r="G122" i="2"/>
  <c r="F122" i="2"/>
  <c r="E122" i="2"/>
  <c r="D122" i="2"/>
  <c r="C122" i="2"/>
  <c r="B122" i="2"/>
  <c r="J121" i="2"/>
  <c r="I121" i="2"/>
  <c r="H121" i="2"/>
  <c r="G121" i="2"/>
  <c r="F121" i="2"/>
  <c r="E121" i="2"/>
  <c r="D121" i="2"/>
  <c r="C121" i="2"/>
  <c r="C130" i="2" s="1"/>
  <c r="B121" i="2"/>
  <c r="J120" i="2"/>
  <c r="I120" i="2"/>
  <c r="H120" i="2"/>
  <c r="G120" i="2"/>
  <c r="F120" i="2"/>
  <c r="E120" i="2"/>
  <c r="D120" i="2"/>
  <c r="C120" i="2"/>
  <c r="B120" i="2"/>
  <c r="J119" i="2"/>
  <c r="I119" i="2"/>
  <c r="H119" i="2"/>
  <c r="G119" i="2"/>
  <c r="F119" i="2"/>
  <c r="E119" i="2"/>
  <c r="E130" i="2" s="1"/>
  <c r="D119" i="2"/>
  <c r="C119" i="2"/>
  <c r="B119" i="2"/>
  <c r="J118" i="2"/>
  <c r="I118" i="2"/>
  <c r="H118" i="2"/>
  <c r="G118" i="2"/>
  <c r="F118" i="2"/>
  <c r="E118" i="2"/>
  <c r="D118" i="2"/>
  <c r="C118" i="2"/>
  <c r="B118" i="2"/>
  <c r="J117" i="2"/>
  <c r="I117" i="2"/>
  <c r="H117" i="2"/>
  <c r="G117" i="2"/>
  <c r="F117" i="2"/>
  <c r="E117" i="2"/>
  <c r="D117" i="2"/>
  <c r="C117" i="2"/>
  <c r="B117" i="2"/>
  <c r="J116" i="2"/>
  <c r="I116" i="2"/>
  <c r="H116" i="2"/>
  <c r="G116" i="2"/>
  <c r="F116" i="2"/>
  <c r="E116" i="2"/>
  <c r="D116" i="2"/>
  <c r="C116" i="2"/>
  <c r="B116" i="2"/>
  <c r="J115" i="2"/>
  <c r="I115" i="2"/>
  <c r="H115" i="2"/>
  <c r="G115" i="2"/>
  <c r="F115" i="2"/>
  <c r="E115" i="2"/>
  <c r="D115" i="2"/>
  <c r="C115" i="2"/>
  <c r="B115" i="2"/>
  <c r="J114" i="2"/>
  <c r="I130" i="2" s="1"/>
  <c r="I114" i="2"/>
  <c r="H114" i="2"/>
  <c r="G114" i="2"/>
  <c r="F114" i="2"/>
  <c r="E114" i="2"/>
  <c r="D114" i="2"/>
  <c r="C114" i="2"/>
  <c r="B114" i="2"/>
  <c r="J94" i="2"/>
  <c r="I94" i="2"/>
  <c r="H94" i="2"/>
  <c r="G94" i="2"/>
  <c r="F94" i="2"/>
  <c r="E94" i="2"/>
  <c r="D94" i="2"/>
  <c r="C94" i="2"/>
  <c r="B94" i="2"/>
  <c r="J93" i="2"/>
  <c r="I93" i="2"/>
  <c r="H93" i="2"/>
  <c r="G93" i="2"/>
  <c r="F93" i="2"/>
  <c r="E93" i="2"/>
  <c r="D93" i="2"/>
  <c r="C93" i="2"/>
  <c r="B93" i="2"/>
  <c r="J92" i="2"/>
  <c r="I92" i="2"/>
  <c r="H92" i="2"/>
  <c r="G92" i="2"/>
  <c r="F92" i="2"/>
  <c r="E92" i="2"/>
  <c r="D92" i="2"/>
  <c r="C92" i="2"/>
  <c r="B92" i="2"/>
  <c r="J91" i="2"/>
  <c r="I91" i="2"/>
  <c r="H91" i="2"/>
  <c r="G91" i="2"/>
  <c r="F91" i="2"/>
  <c r="E91" i="2"/>
  <c r="D91" i="2"/>
  <c r="C91" i="2"/>
  <c r="B91" i="2"/>
  <c r="J90" i="2"/>
  <c r="I90" i="2"/>
  <c r="H90" i="2"/>
  <c r="G90" i="2"/>
  <c r="F90" i="2"/>
  <c r="E90" i="2"/>
  <c r="D90" i="2"/>
  <c r="C90" i="2"/>
  <c r="B90" i="2"/>
  <c r="J89" i="2"/>
  <c r="I89" i="2"/>
  <c r="H89" i="2"/>
  <c r="G89" i="2"/>
  <c r="F89" i="2"/>
  <c r="E89" i="2"/>
  <c r="D89" i="2"/>
  <c r="C89" i="2"/>
  <c r="B89" i="2"/>
  <c r="J88" i="2"/>
  <c r="I88" i="2"/>
  <c r="H88" i="2"/>
  <c r="G88" i="2"/>
  <c r="F88" i="2"/>
  <c r="E88" i="2"/>
  <c r="D88" i="2"/>
  <c r="C88" i="2"/>
  <c r="B88" i="2"/>
  <c r="J87" i="2"/>
  <c r="I87" i="2"/>
  <c r="H87" i="2"/>
  <c r="G87" i="2"/>
  <c r="F87" i="2"/>
  <c r="E87" i="2"/>
  <c r="D87" i="2"/>
  <c r="C87" i="2"/>
  <c r="B87" i="2"/>
  <c r="J86" i="2"/>
  <c r="I86" i="2"/>
  <c r="H86" i="2"/>
  <c r="G86" i="2"/>
  <c r="F86" i="2"/>
  <c r="E86" i="2"/>
  <c r="D86" i="2"/>
  <c r="C86" i="2"/>
  <c r="B86" i="2"/>
  <c r="J85" i="2"/>
  <c r="I85" i="2"/>
  <c r="H85" i="2"/>
  <c r="G85" i="2"/>
  <c r="F85" i="2"/>
  <c r="E85" i="2"/>
  <c r="D85" i="2"/>
  <c r="C85" i="2"/>
  <c r="B85" i="2"/>
  <c r="J84" i="2"/>
  <c r="I84" i="2"/>
  <c r="H84" i="2"/>
  <c r="G84" i="2"/>
  <c r="F84" i="2"/>
  <c r="E84" i="2"/>
  <c r="D84" i="2"/>
  <c r="C84" i="2"/>
  <c r="B84" i="2"/>
  <c r="J83" i="2"/>
  <c r="I83" i="2"/>
  <c r="H83" i="2"/>
  <c r="G83" i="2"/>
  <c r="F83" i="2"/>
  <c r="E83" i="2"/>
  <c r="D83" i="2"/>
  <c r="C83" i="2"/>
  <c r="B83" i="2"/>
  <c r="J82" i="2"/>
  <c r="I82" i="2"/>
  <c r="H82" i="2"/>
  <c r="G82" i="2"/>
  <c r="F82" i="2"/>
  <c r="E82" i="2"/>
  <c r="D82" i="2"/>
  <c r="C82" i="2"/>
  <c r="B82" i="2"/>
  <c r="J81" i="2"/>
  <c r="I81" i="2"/>
  <c r="H81" i="2"/>
  <c r="G81" i="2"/>
  <c r="F81" i="2"/>
  <c r="E81" i="2"/>
  <c r="D81" i="2"/>
  <c r="C81" i="2"/>
  <c r="C95" i="2" s="1"/>
  <c r="B81" i="2"/>
  <c r="J80" i="2"/>
  <c r="I80" i="2"/>
  <c r="H80" i="2"/>
  <c r="G80" i="2"/>
  <c r="F80" i="2"/>
  <c r="E80" i="2"/>
  <c r="D80" i="2"/>
  <c r="C80" i="2"/>
  <c r="B80" i="2"/>
  <c r="J79" i="2"/>
  <c r="I95" i="2" s="1"/>
  <c r="I79" i="2"/>
  <c r="H79" i="2"/>
  <c r="G79" i="2"/>
  <c r="F79" i="2"/>
  <c r="E79" i="2"/>
  <c r="E95" i="2" s="1"/>
  <c r="D79" i="2"/>
  <c r="C79" i="2"/>
  <c r="B79" i="2"/>
  <c r="J59" i="2"/>
  <c r="I59" i="2"/>
  <c r="H59" i="2"/>
  <c r="G59" i="2"/>
  <c r="F59" i="2"/>
  <c r="E59" i="2"/>
  <c r="D59" i="2"/>
  <c r="C59" i="2"/>
  <c r="B59" i="2"/>
  <c r="J58" i="2"/>
  <c r="I58" i="2"/>
  <c r="H58" i="2"/>
  <c r="G58" i="2"/>
  <c r="F58" i="2"/>
  <c r="E58" i="2"/>
  <c r="D58" i="2"/>
  <c r="C58" i="2"/>
  <c r="B58" i="2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4" i="2"/>
  <c r="I54" i="2"/>
  <c r="H54" i="2"/>
  <c r="G54" i="2"/>
  <c r="F54" i="2"/>
  <c r="E54" i="2"/>
  <c r="D54" i="2"/>
  <c r="C54" i="2"/>
  <c r="B54" i="2"/>
  <c r="J53" i="2"/>
  <c r="I53" i="2"/>
  <c r="H53" i="2"/>
  <c r="G53" i="2"/>
  <c r="F53" i="2"/>
  <c r="E53" i="2"/>
  <c r="D53" i="2"/>
  <c r="C53" i="2"/>
  <c r="B53" i="2"/>
  <c r="J52" i="2"/>
  <c r="I52" i="2"/>
  <c r="H52" i="2"/>
  <c r="G52" i="2"/>
  <c r="F52" i="2"/>
  <c r="E52" i="2"/>
  <c r="D52" i="2"/>
  <c r="C52" i="2"/>
  <c r="B52" i="2"/>
  <c r="J51" i="2"/>
  <c r="I51" i="2"/>
  <c r="H51" i="2"/>
  <c r="G51" i="2"/>
  <c r="F51" i="2"/>
  <c r="E51" i="2"/>
  <c r="D51" i="2"/>
  <c r="C51" i="2"/>
  <c r="B51" i="2"/>
  <c r="J50" i="2"/>
  <c r="I50" i="2"/>
  <c r="H50" i="2"/>
  <c r="G50" i="2"/>
  <c r="F50" i="2"/>
  <c r="E50" i="2"/>
  <c r="D50" i="2"/>
  <c r="C50" i="2"/>
  <c r="B50" i="2"/>
  <c r="J49" i="2"/>
  <c r="I49" i="2"/>
  <c r="H49" i="2"/>
  <c r="G49" i="2"/>
  <c r="F49" i="2"/>
  <c r="E49" i="2"/>
  <c r="D49" i="2"/>
  <c r="C49" i="2"/>
  <c r="C60" i="2" s="1"/>
  <c r="B49" i="2"/>
  <c r="J48" i="2"/>
  <c r="I48" i="2"/>
  <c r="H48" i="2"/>
  <c r="G48" i="2"/>
  <c r="F48" i="2"/>
  <c r="E48" i="2"/>
  <c r="D48" i="2"/>
  <c r="C48" i="2"/>
  <c r="B48" i="2"/>
  <c r="J47" i="2"/>
  <c r="I47" i="2"/>
  <c r="H47" i="2"/>
  <c r="G47" i="2"/>
  <c r="F47" i="2"/>
  <c r="E47" i="2"/>
  <c r="E60" i="2" s="1"/>
  <c r="D47" i="2"/>
  <c r="C47" i="2"/>
  <c r="B47" i="2"/>
  <c r="J46" i="2"/>
  <c r="I46" i="2"/>
  <c r="H46" i="2"/>
  <c r="G46" i="2"/>
  <c r="F46" i="2"/>
  <c r="E46" i="2"/>
  <c r="D46" i="2"/>
  <c r="C46" i="2"/>
  <c r="B46" i="2"/>
  <c r="J45" i="2"/>
  <c r="I45" i="2"/>
  <c r="H45" i="2"/>
  <c r="G45" i="2"/>
  <c r="F45" i="2"/>
  <c r="E45" i="2"/>
  <c r="D45" i="2"/>
  <c r="C45" i="2"/>
  <c r="B45" i="2"/>
  <c r="J44" i="2"/>
  <c r="I60" i="2" s="1"/>
  <c r="I44" i="2"/>
  <c r="H44" i="2"/>
  <c r="G44" i="2"/>
  <c r="F44" i="2"/>
  <c r="E44" i="2"/>
  <c r="D44" i="2"/>
  <c r="C44" i="2"/>
  <c r="B44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E25" i="2" s="1"/>
  <c r="D15" i="2"/>
  <c r="C15" i="2"/>
  <c r="B15" i="2"/>
  <c r="J14" i="2"/>
  <c r="I14" i="2"/>
  <c r="H14" i="2"/>
  <c r="G14" i="2"/>
  <c r="F14" i="2"/>
  <c r="E14" i="2"/>
  <c r="D14" i="2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25" i="2" s="1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C25" i="2" s="1"/>
  <c r="B9" i="2"/>
</calcChain>
</file>

<file path=xl/sharedStrings.xml><?xml version="1.0" encoding="utf-8"?>
<sst xmlns="http://schemas.openxmlformats.org/spreadsheetml/2006/main" count="2885" uniqueCount="1245">
  <si>
    <t>Cor: Amarela</t>
  </si>
  <si>
    <t>Tribo Simeão</t>
  </si>
  <si>
    <t>Anjos:</t>
  </si>
  <si>
    <t>Anjo Guardião:</t>
  </si>
  <si>
    <t>Bruno Cunha</t>
  </si>
  <si>
    <t>Ericka</t>
  </si>
  <si>
    <t>Suellen</t>
  </si>
  <si>
    <t>Ficha ✏️</t>
  </si>
  <si>
    <t>Nome</t>
  </si>
  <si>
    <t>Peso</t>
  </si>
  <si>
    <t>Alt</t>
  </si>
  <si>
    <t>Idade</t>
  </si>
  <si>
    <t>Cidade</t>
  </si>
  <si>
    <t>Camiseta</t>
  </si>
  <si>
    <t>Celular</t>
  </si>
  <si>
    <t>⚠️ Alerta / Observações</t>
  </si>
  <si>
    <t>Sexo</t>
  </si>
  <si>
    <t>MÉDIA&gt;&gt;&gt;&gt;&gt;&gt;&gt;&gt;&gt;</t>
  </si>
  <si>
    <t>Sequências das dinâmicas:</t>
  </si>
  <si>
    <t>1 - Casa do Pai</t>
  </si>
  <si>
    <t>2 - Espelho</t>
  </si>
  <si>
    <t>3 - Balanço</t>
  </si>
  <si>
    <t>4 - Casa de Maria</t>
  </si>
  <si>
    <t>5 - Salto da Fé</t>
  </si>
  <si>
    <t>6 - Cabana</t>
  </si>
  <si>
    <t>7 - Casa da Misericórdia</t>
  </si>
  <si>
    <t>8 - Metrô</t>
  </si>
  <si>
    <t>9 - Paredão</t>
  </si>
  <si>
    <t>Cor: Vermelha</t>
  </si>
  <si>
    <t>Tribo Rubem</t>
  </si>
  <si>
    <t>Helton</t>
  </si>
  <si>
    <t>Hugo Kisner</t>
  </si>
  <si>
    <t>Josiane Fiorini</t>
  </si>
  <si>
    <t>1 - Espelho</t>
  </si>
  <si>
    <t>2 - Balanço</t>
  </si>
  <si>
    <t>3 - Casa de Maria</t>
  </si>
  <si>
    <t>4 - Salto da Fé</t>
  </si>
  <si>
    <t>5 - Cabana</t>
  </si>
  <si>
    <t>6 - Casa da Misericórdia</t>
  </si>
  <si>
    <t>7 - Metrô</t>
  </si>
  <si>
    <t>8 - Paredão</t>
  </si>
  <si>
    <t>9 - Casa do Pai</t>
  </si>
  <si>
    <t>Cor: Laranja</t>
  </si>
  <si>
    <t>Tribo Judá</t>
  </si>
  <si>
    <t>Rodrigo Olmedo</t>
  </si>
  <si>
    <t>Victoria</t>
  </si>
  <si>
    <t>Marla</t>
  </si>
  <si>
    <t>1 - Balanço</t>
  </si>
  <si>
    <t>2 - Casa de Maria</t>
  </si>
  <si>
    <t>3 - Salto da Fé</t>
  </si>
  <si>
    <t>4 - Cabana</t>
  </si>
  <si>
    <t>5 - Casa da Misericórdia</t>
  </si>
  <si>
    <t>6 - Metrô</t>
  </si>
  <si>
    <t>7 - Paredão</t>
  </si>
  <si>
    <t>8 - Casa do Pai</t>
  </si>
  <si>
    <t>9 - Espelho</t>
  </si>
  <si>
    <t>Cor: Rosa</t>
  </si>
  <si>
    <t>Tribo Levi</t>
  </si>
  <si>
    <t>Rogério Melauro</t>
  </si>
  <si>
    <t>Karolyne Queiroz</t>
  </si>
  <si>
    <t>Letícia</t>
  </si>
  <si>
    <t>1 - Casa de Maria</t>
  </si>
  <si>
    <t>2 - Salto da Fé</t>
  </si>
  <si>
    <t>3 - Cabana</t>
  </si>
  <si>
    <t>4 - Casa da Misericórdia</t>
  </si>
  <si>
    <t>5 - Metrô</t>
  </si>
  <si>
    <t>6 - Paredão</t>
  </si>
  <si>
    <t>7 - Casa do Pai</t>
  </si>
  <si>
    <t>8 - Espelho</t>
  </si>
  <si>
    <t>9 - Balanço</t>
  </si>
  <si>
    <t>Cor: Azul</t>
  </si>
  <si>
    <t>Tribo Benjamim</t>
  </si>
  <si>
    <t>Marcos Daniel</t>
  </si>
  <si>
    <t>Pedro Henrique</t>
  </si>
  <si>
    <t>Rosilene</t>
  </si>
  <si>
    <t>1 - Salto da Fé</t>
  </si>
  <si>
    <t>2 - Cabana</t>
  </si>
  <si>
    <t>3 - Casa da Misericórdia</t>
  </si>
  <si>
    <t>4 - Metrô</t>
  </si>
  <si>
    <t>5 - Paredão</t>
  </si>
  <si>
    <t>6 - Casa do Pai</t>
  </si>
  <si>
    <t>7 - Espelho</t>
  </si>
  <si>
    <t>8 - Balanço</t>
  </si>
  <si>
    <t>9 - Casa de Maria</t>
  </si>
  <si>
    <t>Cor: Verde</t>
  </si>
  <si>
    <t>Tribo Issacar</t>
  </si>
  <si>
    <t>Lucas Assis</t>
  </si>
  <si>
    <t>Wendel</t>
  </si>
  <si>
    <t>Barbara Kisner</t>
  </si>
  <si>
    <t>1 - Cabana</t>
  </si>
  <si>
    <t>2 - Casa da Misericórdia</t>
  </si>
  <si>
    <t>3 - Metrô</t>
  </si>
  <si>
    <t>4 - Paredão</t>
  </si>
  <si>
    <t>5 - Casa do Pai</t>
  </si>
  <si>
    <t>6 - Espelho</t>
  </si>
  <si>
    <t>7 - Balanço</t>
  </si>
  <si>
    <t>8 - Casa de Maria</t>
  </si>
  <si>
    <t>9 - Salto da Fé</t>
  </si>
  <si>
    <t>Cor: Marrom</t>
  </si>
  <si>
    <t>Tribo Gad</t>
  </si>
  <si>
    <t>Ricardo Freitas</t>
  </si>
  <si>
    <t>Humberto</t>
  </si>
  <si>
    <t>Lidyane</t>
  </si>
  <si>
    <t>1 - Casa da Misericórdia</t>
  </si>
  <si>
    <t>2 - Metrô</t>
  </si>
  <si>
    <t>3 - Paredão</t>
  </si>
  <si>
    <t>4 - Casa do Pai</t>
  </si>
  <si>
    <t>5 - Espelho</t>
  </si>
  <si>
    <t>6 - Balanço</t>
  </si>
  <si>
    <t>7 - Casa de Maria</t>
  </si>
  <si>
    <t>8 - Salto da Fé</t>
  </si>
  <si>
    <t>9 - Cabana</t>
  </si>
  <si>
    <t>Cor: PRETA</t>
  </si>
  <si>
    <t>Tribo Zabulom</t>
  </si>
  <si>
    <t>Murilo Lemos</t>
  </si>
  <si>
    <t>Gisele</t>
  </si>
  <si>
    <t>Carollyni</t>
  </si>
  <si>
    <t>1 - Metrô</t>
  </si>
  <si>
    <t>2 - Paredão</t>
  </si>
  <si>
    <t>3 - Casa do Pai</t>
  </si>
  <si>
    <t>4 - Espelho</t>
  </si>
  <si>
    <t>5 - Balanço</t>
  </si>
  <si>
    <t>6 - Casa de Maria</t>
  </si>
  <si>
    <t>7 - Salto da Fé</t>
  </si>
  <si>
    <t>8 - Cabana</t>
  </si>
  <si>
    <t>9 - Casa da Misericórdia</t>
  </si>
  <si>
    <t xml:space="preserve">Cor: Cinza </t>
  </si>
  <si>
    <t>Tribo EFRAIM</t>
  </si>
  <si>
    <t>Thyago Alex</t>
  </si>
  <si>
    <t>Daniela</t>
  </si>
  <si>
    <t>Fabricia</t>
  </si>
  <si>
    <t>1 - Paredão</t>
  </si>
  <si>
    <t>2 - Casa do Pai</t>
  </si>
  <si>
    <t>3 - Espelho</t>
  </si>
  <si>
    <t>4 - Balanço</t>
  </si>
  <si>
    <t>5 - Casa de Maria</t>
  </si>
  <si>
    <t>6 - Salto da Fé</t>
  </si>
  <si>
    <t>7 - Cabana</t>
  </si>
  <si>
    <t>8 - Casa da Misericórdia</t>
  </si>
  <si>
    <t>9 - Metrô</t>
  </si>
  <si>
    <t>FICHA</t>
  </si>
  <si>
    <t>NOME</t>
  </si>
  <si>
    <t>TAMANHO DA CAMISETA</t>
  </si>
  <si>
    <t>SEXO</t>
  </si>
  <si>
    <t>PESO</t>
  </si>
  <si>
    <t>ALTURA</t>
  </si>
  <si>
    <t>IDADE</t>
  </si>
  <si>
    <t>CELULAR</t>
  </si>
  <si>
    <t>CIDADE</t>
  </si>
  <si>
    <t>CONFLITOS / CONHECIDOS</t>
  </si>
  <si>
    <t>NOMES CONTATOS I</t>
  </si>
  <si>
    <t>TELEFONE CONTATO I</t>
  </si>
  <si>
    <t>NOMES CONTATOS II</t>
  </si>
  <si>
    <t>TELEFONE CONTATO II</t>
  </si>
  <si>
    <t>ALERGIAS</t>
  </si>
  <si>
    <t>DATA DE NASCIMENTO</t>
  </si>
  <si>
    <t>TRIBO</t>
  </si>
  <si>
    <t>PARCEIRO FC</t>
  </si>
  <si>
    <t>Adejar Nunes Guimarães</t>
  </si>
  <si>
    <t>G</t>
  </si>
  <si>
    <t>M</t>
  </si>
  <si>
    <t>+55 (64) 98408-2025</t>
  </si>
  <si>
    <t>Caçu</t>
  </si>
  <si>
    <t>Sim. Eliete Fátima (esposa), Catarina Elzi (conhecida)</t>
  </si>
  <si>
    <t>Geovana Guimarães</t>
  </si>
  <si>
    <t>62982185298</t>
  </si>
  <si>
    <t>Thaís Guimarães</t>
  </si>
  <si>
    <t>62982185297</t>
  </si>
  <si>
    <t>Não que eu saiba</t>
  </si>
  <si>
    <t>1952-04-03</t>
  </si>
  <si>
    <t>Benjamim</t>
  </si>
  <si>
    <t>Affonso Moreira Cardoso</t>
  </si>
  <si>
    <t>+55 (62) 98279-1421</t>
  </si>
  <si>
    <t>Goiania</t>
  </si>
  <si>
    <t>Não</t>
  </si>
  <si>
    <t>Raquel irmã</t>
  </si>
  <si>
    <t>+55 62 8270-9532</t>
  </si>
  <si>
    <t>Mônica mãe</t>
  </si>
  <si>
    <t>0 62 8114-5127</t>
  </si>
  <si>
    <t>1986-12-26</t>
  </si>
  <si>
    <t>Rubem</t>
  </si>
  <si>
    <t>Aires Silva</t>
  </si>
  <si>
    <t>+55 (62) 99159-4335</t>
  </si>
  <si>
    <t>Goiânia</t>
  </si>
  <si>
    <t>Sim. Maria Ivone (esposa)</t>
  </si>
  <si>
    <t>Ana Paula</t>
  </si>
  <si>
    <t>(11) 93321-1010</t>
  </si>
  <si>
    <t>Ana Gabriela</t>
  </si>
  <si>
    <t>(62) 992747297</t>
  </si>
  <si>
    <t>Frutos do mar</t>
  </si>
  <si>
    <t>1964-02-01</t>
  </si>
  <si>
    <t>Levi</t>
  </si>
  <si>
    <t>Amanda  Werneck</t>
  </si>
  <si>
    <t>F</t>
  </si>
  <si>
    <t>+55 (62) 99804-9912</t>
  </si>
  <si>
    <t>Não.</t>
  </si>
  <si>
    <t>Luiz Botosso</t>
  </si>
  <si>
    <t>62996037374</t>
  </si>
  <si>
    <t>Luiza Werneck</t>
  </si>
  <si>
    <t>6299808079</t>
  </si>
  <si>
    <t>Insetos</t>
  </si>
  <si>
    <t>1980-07-23</t>
  </si>
  <si>
    <t>Simeão</t>
  </si>
  <si>
    <t>Amarildo Ferreira</t>
  </si>
  <si>
    <t>+55 (61) 99571-6653</t>
  </si>
  <si>
    <t>Alexandre</t>
  </si>
  <si>
    <t>Ubiratan</t>
  </si>
  <si>
    <t>62981576273</t>
  </si>
  <si>
    <t>Amanda</t>
  </si>
  <si>
    <t>6181708411</t>
  </si>
  <si>
    <t>não</t>
  </si>
  <si>
    <t>1989-05-25</t>
  </si>
  <si>
    <t>Judá</t>
  </si>
  <si>
    <t>Ana Gabriela Borges Teixeira</t>
  </si>
  <si>
    <t>P</t>
  </si>
  <si>
    <t>+55 (91) 98207-7079</t>
  </si>
  <si>
    <t>Stella Borges</t>
  </si>
  <si>
    <t>62 98182-3358</t>
  </si>
  <si>
    <t>Monique Borges</t>
  </si>
  <si>
    <t>62 98244-1695</t>
  </si>
  <si>
    <t>1999-11-14</t>
  </si>
  <si>
    <t>EFRAIM</t>
  </si>
  <si>
    <t>Ana Gabriela Franco Ribeiro Aguiar</t>
  </si>
  <si>
    <t>+55 (62) 98626-6626</t>
  </si>
  <si>
    <t>62 98114-5347</t>
  </si>
  <si>
    <t>Bruno</t>
  </si>
  <si>
    <t>62 98466-6695</t>
  </si>
  <si>
    <t>Sim, abelhas</t>
  </si>
  <si>
    <t>1981-07-17</t>
  </si>
  <si>
    <t>Ana Luiza Gonçalves Bueno</t>
  </si>
  <si>
    <t>+55 (01) 56298-1816</t>
  </si>
  <si>
    <t>Goiana</t>
  </si>
  <si>
    <t>Fabiano Pereira</t>
  </si>
  <si>
    <t>Fernanda</t>
  </si>
  <si>
    <t>(061) 99270-5252</t>
  </si>
  <si>
    <t>Luciano</t>
  </si>
  <si>
    <t>(061) 98431-9558</t>
  </si>
  <si>
    <t>1973-01-21</t>
  </si>
  <si>
    <t>Ana Luiza Vaz Carvalho</t>
  </si>
  <si>
    <t>+55 (62) 99321-9967</t>
  </si>
  <si>
    <t>Julia Jayme. Foi da minha turma de faculdade.</t>
  </si>
  <si>
    <t>Marlene de Oliveira Vaz Carvalho</t>
  </si>
  <si>
    <t>62981549705</t>
  </si>
  <si>
    <t>Elivar Antonio de Carvalho</t>
  </si>
  <si>
    <t>62981654656</t>
  </si>
  <si>
    <t>1998-05-19</t>
  </si>
  <si>
    <t>Zabulom</t>
  </si>
  <si>
    <t>Anna Clara Silva Guimarães</t>
  </si>
  <si>
    <t>+55 (62) 99325-0970</t>
  </si>
  <si>
    <t>Luara Couto</t>
  </si>
  <si>
    <t>Marcos Augusto</t>
  </si>
  <si>
    <t>62984467506</t>
  </si>
  <si>
    <t>Camila</t>
  </si>
  <si>
    <t>62993889308</t>
  </si>
  <si>
    <t>2003-05-15</t>
  </si>
  <si>
    <t>Antônio Francisco de Oliveira</t>
  </si>
  <si>
    <t>+55 (62) 98561-2097</t>
  </si>
  <si>
    <t>Marciella  - minha esposa (62) 98424-2802</t>
  </si>
  <si>
    <t>(62) 98424-2802</t>
  </si>
  <si>
    <t>Gustavo Henrique  - Meu filho (62) 99685-0807</t>
  </si>
  <si>
    <t>(62) 99685-0807</t>
  </si>
  <si>
    <t>1973-09-18</t>
  </si>
  <si>
    <t>Ariane Dias da Luz</t>
  </si>
  <si>
    <t>+55 (62) 98237-5037</t>
  </si>
  <si>
    <t>Aparecida de Goiania</t>
  </si>
  <si>
    <t>Sim Marcos Felipe</t>
  </si>
  <si>
    <t>Ciane</t>
  </si>
  <si>
    <t>62 982353865</t>
  </si>
  <si>
    <t>Tuana</t>
  </si>
  <si>
    <t>62 9 98080605</t>
  </si>
  <si>
    <t>Nao</t>
  </si>
  <si>
    <t>1995-11-19</t>
  </si>
  <si>
    <t>Augustinho Severino da Cruz</t>
  </si>
  <si>
    <t>+55 (63) 92844-486</t>
  </si>
  <si>
    <t>Paranã</t>
  </si>
  <si>
    <t>sim</t>
  </si>
  <si>
    <t>Vinicius Roberto Da Cruz</t>
  </si>
  <si>
    <t>64996480435</t>
  </si>
  <si>
    <t>Eneida Alexo Silva Cruz</t>
  </si>
  <si>
    <t>+55 63 8490-7234</t>
  </si>
  <si>
    <t>1965-08-30</t>
  </si>
  <si>
    <t>Bruna Amaral Martins</t>
  </si>
  <si>
    <t>+55 (62) 99908-1082</t>
  </si>
  <si>
    <t>Eliane Martins Nunes (mãe)</t>
  </si>
  <si>
    <t>Eliane</t>
  </si>
  <si>
    <t>62999711082</t>
  </si>
  <si>
    <t>Sérgio</t>
  </si>
  <si>
    <t>6296968688</t>
  </si>
  <si>
    <t>2000-03-22</t>
  </si>
  <si>
    <t>Bruna Tayssa Rockenbach Padilha</t>
  </si>
  <si>
    <t>+55 (66) 98446-8785</t>
  </si>
  <si>
    <t>Canarana</t>
  </si>
  <si>
    <t>Sim meu esposo, Raul.</t>
  </si>
  <si>
    <t>Camila Padilha</t>
  </si>
  <si>
    <t>66.9.96215646</t>
  </si>
  <si>
    <t>Franciele Passold</t>
  </si>
  <si>
    <t>66.9.92076690</t>
  </si>
  <si>
    <t>1992-07-15</t>
  </si>
  <si>
    <t>Bruno Aguiar</t>
  </si>
  <si>
    <t>+55 (62) 98466-6696</t>
  </si>
  <si>
    <t>Bernard</t>
  </si>
  <si>
    <t>62 99857-6666</t>
  </si>
  <si>
    <t>Beatriz</t>
  </si>
  <si>
    <t>62 99614-7908</t>
  </si>
  <si>
    <t>1982-06-19</t>
  </si>
  <si>
    <t>Caio Rabelo da Silva Furtado</t>
  </si>
  <si>
    <t>+55 (62) 99524-6943</t>
  </si>
  <si>
    <t>Aparecida de Goiânia</t>
  </si>
  <si>
    <t>Flávia (mãe)</t>
  </si>
  <si>
    <t>62 992234808</t>
  </si>
  <si>
    <t>Ronaldo (Pai)</t>
  </si>
  <si>
    <t>62 992420035</t>
  </si>
  <si>
    <t>2004-02-10</t>
  </si>
  <si>
    <t>Carla Rodrigues Ferreira</t>
  </si>
  <si>
    <t>+55 (62) 98325-7488</t>
  </si>
  <si>
    <t>Carolline Rodrigues</t>
  </si>
  <si>
    <t>(62) 98145 1313</t>
  </si>
  <si>
    <t>Camila Rodrigues</t>
  </si>
  <si>
    <t>(62) 98452 5353</t>
  </si>
  <si>
    <t>1979-08-06</t>
  </si>
  <si>
    <t>Gad</t>
  </si>
  <si>
    <t>Carlos Bruno Rodrigues</t>
  </si>
  <si>
    <t>GG</t>
  </si>
  <si>
    <t>+55 (62) 99639-1240</t>
  </si>
  <si>
    <t>esposa Karla Regina da Silva Rodrigues</t>
  </si>
  <si>
    <t>Giovanna</t>
  </si>
  <si>
    <t>62999518515</t>
  </si>
  <si>
    <t>Gabriella</t>
  </si>
  <si>
    <t>62992448557</t>
  </si>
  <si>
    <t>1976-05-27</t>
  </si>
  <si>
    <t>Carlos euripedes Tavares</t>
  </si>
  <si>
    <t>+55 (62) 99844-3069</t>
  </si>
  <si>
    <t>Leandro</t>
  </si>
  <si>
    <t>62-999756864</t>
  </si>
  <si>
    <t>Juliana 999756678</t>
  </si>
  <si>
    <t>62-999756678</t>
  </si>
  <si>
    <t>1954-09-10</t>
  </si>
  <si>
    <t>Carlos Henrique de Souza Dourado</t>
  </si>
  <si>
    <t>+55 (62) 99461-5119</t>
  </si>
  <si>
    <t>Goianira</t>
  </si>
  <si>
    <t>Carlos Cesar de Souza Dourado</t>
  </si>
  <si>
    <t>62985200025</t>
  </si>
  <si>
    <t>Julio Wanderson</t>
  </si>
  <si>
    <t>62996329737</t>
  </si>
  <si>
    <t>1994-02-24</t>
  </si>
  <si>
    <t>Cassiano Resende</t>
  </si>
  <si>
    <t>+55 (62) 98500-0392</t>
  </si>
  <si>
    <t>Mairipotaba</t>
  </si>
  <si>
    <t>Fabricio Michel</t>
  </si>
  <si>
    <t>62985000392</t>
  </si>
  <si>
    <t>Renilda Pereira</t>
  </si>
  <si>
    <t>+32 476 59 39 22</t>
  </si>
  <si>
    <t>1989-07-22</t>
  </si>
  <si>
    <t>Catarina Elzi de Oliveira</t>
  </si>
  <si>
    <t>+55 (34) 99902-0453</t>
  </si>
  <si>
    <t>Jussara</t>
  </si>
  <si>
    <t>Sim. Eliete e Adejar.</t>
  </si>
  <si>
    <t>Geovana Guimarães de Oliveira</t>
  </si>
  <si>
    <t>Thaís Guimarães de Oliveira</t>
  </si>
  <si>
    <t>Que saiba não</t>
  </si>
  <si>
    <t>1953-10-04</t>
  </si>
  <si>
    <t>Issacar</t>
  </si>
  <si>
    <t>Celma Maria de Queiroz Silva</t>
  </si>
  <si>
    <t>+55 (62) 98208-2395</t>
  </si>
  <si>
    <t>Rodrigo Queiroz</t>
  </si>
  <si>
    <t>62 9 9614-2740</t>
  </si>
  <si>
    <t>Jonas Manoel</t>
  </si>
  <si>
    <t>62 9 8328-5140</t>
  </si>
  <si>
    <t>Alergia a Sulfa e Penicilina</t>
  </si>
  <si>
    <t>1959-08-24</t>
  </si>
  <si>
    <t>Charles Juliano Visconti</t>
  </si>
  <si>
    <t>+55 (66) 99911-3161</t>
  </si>
  <si>
    <t>Staney</t>
  </si>
  <si>
    <t>66 999888998</t>
  </si>
  <si>
    <t>Shirlei</t>
  </si>
  <si>
    <t>47 999834854</t>
  </si>
  <si>
    <t>1976-07-29</t>
  </si>
  <si>
    <t>CIRILO DE JESUS SOARES</t>
  </si>
  <si>
    <t>+55 (62) 99922-2008</t>
  </si>
  <si>
    <t>Luciana Costa de Oliveira Soares</t>
  </si>
  <si>
    <t>Maria Aparecida</t>
  </si>
  <si>
    <t>62993997089</t>
  </si>
  <si>
    <t>62994000079</t>
  </si>
  <si>
    <t>1980-03-18</t>
  </si>
  <si>
    <t>CLEONIS Pereira de Castro</t>
  </si>
  <si>
    <t>+55 (62) 99958-1174</t>
  </si>
  <si>
    <t>Sim</t>
  </si>
  <si>
    <t>Iraci</t>
  </si>
  <si>
    <t>62996745312</t>
  </si>
  <si>
    <t>Larissa</t>
  </si>
  <si>
    <t>62999765788</t>
  </si>
  <si>
    <t>2059-10-14</t>
  </si>
  <si>
    <t>cley Altair santos</t>
  </si>
  <si>
    <t>+55 (62) 99404-2763</t>
  </si>
  <si>
    <t>filho João Vitor</t>
  </si>
  <si>
    <t>6295457305</t>
  </si>
  <si>
    <t>mãe celeste</t>
  </si>
  <si>
    <t>6281593412</t>
  </si>
  <si>
    <t>1977-05-16</t>
  </si>
  <si>
    <t>CLEYTA FERREIRA DO COUTO</t>
  </si>
  <si>
    <t>G1</t>
  </si>
  <si>
    <t>+55 (62) 99808-5175</t>
  </si>
  <si>
    <t>Marido - Fernando</t>
  </si>
  <si>
    <t>(62) 99307-9547</t>
  </si>
  <si>
    <t>Pai - Sebastião</t>
  </si>
  <si>
    <t>(62) 99611-5175</t>
  </si>
  <si>
    <t>camarão, amendoin, coco, pelo de cachorro.</t>
  </si>
  <si>
    <t>1981-09-21</t>
  </si>
  <si>
    <t>Diego Francisco dos Santos</t>
  </si>
  <si>
    <t>+55 (62) 99201-8512</t>
  </si>
  <si>
    <t>Daniel</t>
  </si>
  <si>
    <t>62985630030</t>
  </si>
  <si>
    <t>1994-11-29</t>
  </si>
  <si>
    <t>Diego Grando</t>
  </si>
  <si>
    <t>+55 (49) 99912-1598</t>
  </si>
  <si>
    <t>Pinhalzinho SC</t>
  </si>
  <si>
    <t>Josiane fiorini</t>
  </si>
  <si>
    <t>marise Grando</t>
  </si>
  <si>
    <t>49 999834653</t>
  </si>
  <si>
    <t>Marise Grando</t>
  </si>
  <si>
    <t>1982-07-25</t>
  </si>
  <si>
    <t>Dirce de Souza Lobo Oliveira</t>
  </si>
  <si>
    <t>+55 (62) 99647-4797</t>
  </si>
  <si>
    <t>Pires do Rio</t>
  </si>
  <si>
    <t>Donizete Antonio de Oliveira - Meu marido</t>
  </si>
  <si>
    <t>Dayanne Oliveira</t>
  </si>
  <si>
    <t>62999675342</t>
  </si>
  <si>
    <t>Danielly Oliveira</t>
  </si>
  <si>
    <t>62996026126</t>
  </si>
  <si>
    <t>1969-02-22</t>
  </si>
  <si>
    <t>Donizete Antonio de Oliveira</t>
  </si>
  <si>
    <t>+55 (62) 99661-4603</t>
  </si>
  <si>
    <t>Vianópolis/Pires do Rio</t>
  </si>
  <si>
    <t>Dirce Lobo/ Vânia Oliveira/ Nilson Oliveira</t>
  </si>
  <si>
    <t>danielly</t>
  </si>
  <si>
    <t>62999675352</t>
  </si>
  <si>
    <t>dayanne</t>
  </si>
  <si>
    <t>1963-04-06</t>
  </si>
  <si>
    <t>eder ribeiro da silva</t>
  </si>
  <si>
    <t>+55 (62) 99699-2468</t>
  </si>
  <si>
    <t>goiania</t>
  </si>
  <si>
    <t>nao</t>
  </si>
  <si>
    <t>esposa vanessa</t>
  </si>
  <si>
    <t>62998079634</t>
  </si>
  <si>
    <t>filho richard</t>
  </si>
  <si>
    <t>62996992468</t>
  </si>
  <si>
    <t>1982-07-14</t>
  </si>
  <si>
    <t>EDMAR DE PAULA SILVA</t>
  </si>
  <si>
    <t>+55 (16) 99755-3271</t>
  </si>
  <si>
    <t>FRANCA SP</t>
  </si>
  <si>
    <t>NÃO</t>
  </si>
  <si>
    <t>GILBERTO (IRMÃO)</t>
  </si>
  <si>
    <t>6299769578</t>
  </si>
  <si>
    <t>ALINE (IRMÃ)</t>
  </si>
  <si>
    <t>1699989-0819</t>
  </si>
  <si>
    <t>NAO</t>
  </si>
  <si>
    <t>1987-01-26</t>
  </si>
  <si>
    <t>Edson Luiz Pacheco Junior</t>
  </si>
  <si>
    <t>+55 (62) 99477-9724</t>
  </si>
  <si>
    <t>esposa Sara Angel, amigos: Josane, Pedro Luan, e Thais (está na reserva)</t>
  </si>
  <si>
    <t>sogra Jackeline</t>
  </si>
  <si>
    <t>62 99117-1714 somente WhatsApp</t>
  </si>
  <si>
    <t>tia Suely</t>
  </si>
  <si>
    <t>62 99292-3030</t>
  </si>
  <si>
    <t>intolerância a lactose</t>
  </si>
  <si>
    <t>2000-08-31</t>
  </si>
  <si>
    <t>ELIANE MARTINS NUNES</t>
  </si>
  <si>
    <t>+55 (62) 99971-1082</t>
  </si>
  <si>
    <t>GOIÂNIA</t>
  </si>
  <si>
    <t>BRUNA</t>
  </si>
  <si>
    <t>62 99908.1082</t>
  </si>
  <si>
    <t>SÉRGIO</t>
  </si>
  <si>
    <t>62 99696.8688</t>
  </si>
  <si>
    <t>1965-06-04</t>
  </si>
  <si>
    <t>Eliete Fátima Guimarães</t>
  </si>
  <si>
    <t>+55 (64) 98431-2836</t>
  </si>
  <si>
    <t>Sim. Adejar (marido) e Catarina Elzi (conhecida)</t>
  </si>
  <si>
    <t>1957-09-06</t>
  </si>
  <si>
    <t>Elisvania Maria de Oliveira Silva</t>
  </si>
  <si>
    <t>+55 (62) 99937-9138</t>
  </si>
  <si>
    <t>Vianopolis</t>
  </si>
  <si>
    <t>Não!</t>
  </si>
  <si>
    <t>Lara Caixeta</t>
  </si>
  <si>
    <t>62999413446</t>
  </si>
  <si>
    <t>João Antônio Oliveira Silva</t>
  </si>
  <si>
    <t>62999482791</t>
  </si>
  <si>
    <t>1976-11-22</t>
  </si>
  <si>
    <t>Fabiano Pereira Baptista</t>
  </si>
  <si>
    <t>+55 (62) 99973-3017</t>
  </si>
  <si>
    <t>Ana Luiza esposa</t>
  </si>
  <si>
    <t>Leandro Pereira</t>
  </si>
  <si>
    <t>(015 62) 98117-1679</t>
  </si>
  <si>
    <t>Juliana Pereira</t>
  </si>
  <si>
    <t>(015 62) 99147-9793</t>
  </si>
  <si>
    <t>1972-11-21</t>
  </si>
  <si>
    <t>Felipe Carvalho De Matos</t>
  </si>
  <si>
    <t>+55 (62) 99919-7733</t>
  </si>
  <si>
    <t>Sim - Vanessa Samara</t>
  </si>
  <si>
    <t>Reges (pai)</t>
  </si>
  <si>
    <t>62992162599</t>
  </si>
  <si>
    <t>Larissa (mãe)</t>
  </si>
  <si>
    <t>62999583694</t>
  </si>
  <si>
    <t>1997-06-11</t>
  </si>
  <si>
    <t>Fernanda Gonçalves de Oliveira</t>
  </si>
  <si>
    <t>+55 (62) 99889-6049</t>
  </si>
  <si>
    <t>Vianópolis</t>
  </si>
  <si>
    <t>Elisvania Maria, Nilson Oliveira, Matheus Romualdo</t>
  </si>
  <si>
    <t>Diogo Caixeta</t>
  </si>
  <si>
    <t>62 9847-7709</t>
  </si>
  <si>
    <t>1976-08-15</t>
  </si>
  <si>
    <t>Fernanda Roncolato</t>
  </si>
  <si>
    <t>+55 (62) 98533-8606</t>
  </si>
  <si>
    <t>Rodrigo Roncolato (esposo)</t>
  </si>
  <si>
    <t>62 98592-8423</t>
  </si>
  <si>
    <t>Izabela Carvalho (irma)</t>
  </si>
  <si>
    <t>62 98281-9963</t>
  </si>
  <si>
    <t>1981-01-19</t>
  </si>
  <si>
    <t>Fernando Bongiovanni Seraphim</t>
  </si>
  <si>
    <t>+55 (14) 99704-1530</t>
  </si>
  <si>
    <t>Rio Verde</t>
  </si>
  <si>
    <t>Patrícia cunha</t>
  </si>
  <si>
    <t>Patricia Cunha</t>
  </si>
  <si>
    <t>62999774020</t>
  </si>
  <si>
    <t>1973-10-03</t>
  </si>
  <si>
    <t>Fernando Costa de Souza</t>
  </si>
  <si>
    <t>+55 (62) 99306-9620</t>
  </si>
  <si>
    <t>Senador Canedo</t>
  </si>
  <si>
    <t>Anna Cecília ( esposa)</t>
  </si>
  <si>
    <t>62992162992</t>
  </si>
  <si>
    <t>Leidiane (irmã)</t>
  </si>
  <si>
    <t>62985694287</t>
  </si>
  <si>
    <t>1990-03-30</t>
  </si>
  <si>
    <t>Fernando Rodrigues Pontes</t>
  </si>
  <si>
    <t>+55 (62) 99269-6899</t>
  </si>
  <si>
    <t>esposa Kelly 62991213760</t>
  </si>
  <si>
    <t>irmão Guilherme +55 62 9125-8909</t>
  </si>
  <si>
    <t>Guilherme e Luiz Carlos</t>
  </si>
  <si>
    <t>Luiz Carlos primo +55 62 8532-2260</t>
  </si>
  <si>
    <t>1979-06-27</t>
  </si>
  <si>
    <t>Flávia de Faria</t>
  </si>
  <si>
    <t>+55 (62) 99995-3602</t>
  </si>
  <si>
    <t>Silvânia</t>
  </si>
  <si>
    <t>Eunita, Laura,</t>
  </si>
  <si>
    <t>Deusimar (esposo)</t>
  </si>
  <si>
    <t>62 99995 3613</t>
  </si>
  <si>
    <t>Fabiana (irmã)</t>
  </si>
  <si>
    <t>62 99995 3036</t>
  </si>
  <si>
    <t>1978-03-28</t>
  </si>
  <si>
    <t>Frederico Rodrigues Gonçalves</t>
  </si>
  <si>
    <t>GG1</t>
  </si>
  <si>
    <t>+55 (62) 98162-2271</t>
  </si>
  <si>
    <t>Pedro - 62981129126</t>
  </si>
  <si>
    <t>62981622271</t>
  </si>
  <si>
    <t>Mikael - 62981199511</t>
  </si>
  <si>
    <t>62981515237</t>
  </si>
  <si>
    <t>1994-03-18</t>
  </si>
  <si>
    <t>Gabriel Fernandes</t>
  </si>
  <si>
    <t>+55 (62) 99932-6071</t>
  </si>
  <si>
    <t>Aparecida De Goiania</t>
  </si>
  <si>
    <t>Fernanda Bacelar</t>
  </si>
  <si>
    <t>62995456291</t>
  </si>
  <si>
    <t>2000-12-28</t>
  </si>
  <si>
    <t>Geisa Souza de Araujo</t>
  </si>
  <si>
    <t>+55 (62) 98438-6602</t>
  </si>
  <si>
    <t>Flavia</t>
  </si>
  <si>
    <t>62996395177</t>
  </si>
  <si>
    <t>Divino</t>
  </si>
  <si>
    <t>62984191959</t>
  </si>
  <si>
    <t>2061-10-02</t>
  </si>
  <si>
    <t>Glaucia Atavila da Silva</t>
  </si>
  <si>
    <t>+55 (62) 99997-1003</t>
  </si>
  <si>
    <t>Elza - Mãe</t>
  </si>
  <si>
    <t>62999766360</t>
  </si>
  <si>
    <t>Luciana - Irmã</t>
  </si>
  <si>
    <t>62996314321</t>
  </si>
  <si>
    <t>Alergia a crustáceos</t>
  </si>
  <si>
    <t>1975-08-22</t>
  </si>
  <si>
    <t>Gustavo Henrique da Silva Rezende</t>
  </si>
  <si>
    <t>+55 (64) 99200-2451</t>
  </si>
  <si>
    <t>Piracanjuba</t>
  </si>
  <si>
    <t>Claudia Raquel (mae)</t>
  </si>
  <si>
    <t>64992298971</t>
  </si>
  <si>
    <t>Matheus Augusto (irmão)</t>
  </si>
  <si>
    <t>64993263524</t>
  </si>
  <si>
    <t>2003-07-10</t>
  </si>
  <si>
    <t>Henrique Carneiro Veiga</t>
  </si>
  <si>
    <t>+55 (62) 99353-8118</t>
  </si>
  <si>
    <t>Emiliana Gondim +55 62 9688-7946</t>
  </si>
  <si>
    <t>9688-7946</t>
  </si>
  <si>
    <t>Rosangela Carneiro 992232371</t>
  </si>
  <si>
    <t>992232371</t>
  </si>
  <si>
    <t>1996-03-10</t>
  </si>
  <si>
    <t>Hudson Rodrigues de Sena</t>
  </si>
  <si>
    <t>(62) 99495-8095</t>
  </si>
  <si>
    <t>Esposa Lilian</t>
  </si>
  <si>
    <t>(62) 99323-8212</t>
  </si>
  <si>
    <t>Edson</t>
  </si>
  <si>
    <t>(62) 99289-0433</t>
  </si>
  <si>
    <t>Alergia a pimenta</t>
  </si>
  <si>
    <t>1985-01-14</t>
  </si>
  <si>
    <t>HUGO FERNANDO CORREA</t>
  </si>
  <si>
    <t>+55 (62) 99205-9211</t>
  </si>
  <si>
    <t>Itamar</t>
  </si>
  <si>
    <t>6298218-1197</t>
  </si>
  <si>
    <t>Thiago</t>
  </si>
  <si>
    <t>6199611-0805</t>
  </si>
  <si>
    <t>1991-09-25</t>
  </si>
  <si>
    <t>Hélio Cananéia Miranda Junior</t>
  </si>
  <si>
    <t>+55 (62) 98151-5621</t>
  </si>
  <si>
    <t>Juliana Cunha Cananéia</t>
  </si>
  <si>
    <t>(62)98155-9606</t>
  </si>
  <si>
    <t>Mayara Ferreira dos Santos Cananéia</t>
  </si>
  <si>
    <t>(62)98159-0328</t>
  </si>
  <si>
    <t>1986-04-17</t>
  </si>
  <si>
    <t>Isadora Silva Salomão</t>
  </si>
  <si>
    <t>+55 (61) 99639-5330</t>
  </si>
  <si>
    <t>Thays Brom</t>
  </si>
  <si>
    <t>+55 62 98285-3083</t>
  </si>
  <si>
    <t>Jhessica Lopes</t>
  </si>
  <si>
    <t>+55 62 99202-5749</t>
  </si>
  <si>
    <t>1999-10-21</t>
  </si>
  <si>
    <t>Izadora Lima Pires</t>
  </si>
  <si>
    <t>+55 (62) 99972-2914</t>
  </si>
  <si>
    <t>Guilherme Henrique Oliveira Martins</t>
  </si>
  <si>
    <t>Izabela, irmã,</t>
  </si>
  <si>
    <t>62 982806605</t>
  </si>
  <si>
    <t>Edenia, mãe</t>
  </si>
  <si>
    <t>62999651486</t>
  </si>
  <si>
    <t>cebola, cebolinha, insetos quase todos exceto abelha</t>
  </si>
  <si>
    <t>1991-04-13</t>
  </si>
  <si>
    <t>Jakelynne Soares Pinheiro</t>
  </si>
  <si>
    <t>+55 (62) 99245-1368</t>
  </si>
  <si>
    <t>Cecília</t>
  </si>
  <si>
    <t>62 98425-0084</t>
  </si>
  <si>
    <t>Marília</t>
  </si>
  <si>
    <t>62 98403-7268</t>
  </si>
  <si>
    <t>1990-10-23</t>
  </si>
  <si>
    <t>Jessica Batista alves</t>
  </si>
  <si>
    <t>+55 (62) 99404-9132</t>
  </si>
  <si>
    <t>mãe 62993689293</t>
  </si>
  <si>
    <t>62993753078</t>
  </si>
  <si>
    <t>Letícia 62993753078</t>
  </si>
  <si>
    <t>62994049132</t>
  </si>
  <si>
    <t>nao6</t>
  </si>
  <si>
    <t>1993-11-27</t>
  </si>
  <si>
    <t>Jessica Damasceno</t>
  </si>
  <si>
    <t>PP</t>
  </si>
  <si>
    <t>+55 (62) 99135-0892</t>
  </si>
  <si>
    <t>Mãe</t>
  </si>
  <si>
    <t>(62)992617057</t>
  </si>
  <si>
    <t>Pai</t>
  </si>
  <si>
    <t>(62)991214556</t>
  </si>
  <si>
    <t>Alergia a picada de insetos</t>
  </si>
  <si>
    <t>1996-07-31</t>
  </si>
  <si>
    <t>JOYCE CARNEIRO NAVES DE LIMA</t>
  </si>
  <si>
    <t>+55 (62) 99226-0926</t>
  </si>
  <si>
    <t>Ivone e Ana Gabriela</t>
  </si>
  <si>
    <t>Júlio César Naves</t>
  </si>
  <si>
    <t>62992990955</t>
  </si>
  <si>
    <t>Marize Naves</t>
  </si>
  <si>
    <t>62992990968</t>
  </si>
  <si>
    <t>1973-02-18</t>
  </si>
  <si>
    <t>João adalberth Pereira dos Santos</t>
  </si>
  <si>
    <t>+55 (62) 98239-9771</t>
  </si>
  <si>
    <t>98981359264</t>
  </si>
  <si>
    <t>62998307871</t>
  </si>
  <si>
    <t>62996076836</t>
  </si>
  <si>
    <t>62982399771</t>
  </si>
  <si>
    <t>2002-02-24</t>
  </si>
  <si>
    <t>João Batista Espíndola</t>
  </si>
  <si>
    <t>+55 (62) 99968-4577</t>
  </si>
  <si>
    <t>Hirllany Patrícia Dutra de Souza (esposa)</t>
  </si>
  <si>
    <t>62991923942</t>
  </si>
  <si>
    <t>Lidiany Danyelle Dutra de Souza (cunhada)</t>
  </si>
  <si>
    <t>62981128059</t>
  </si>
  <si>
    <t>1980-09-15</t>
  </si>
  <si>
    <t>João Marcos Ribeiro Pires</t>
  </si>
  <si>
    <t>+55 (62) 98464-1658</t>
  </si>
  <si>
    <t>Tenho uma amiga: Natana Miranda</t>
  </si>
  <si>
    <t>Aline Cardoso (amiga)</t>
  </si>
  <si>
    <t>62 99411-0813</t>
  </si>
  <si>
    <t>Ediene (mãe)</t>
  </si>
  <si>
    <t>6298409-1887</t>
  </si>
  <si>
    <t>Paracetamol</t>
  </si>
  <si>
    <t>1993-07-17</t>
  </si>
  <si>
    <t>João Paulo Souza</t>
  </si>
  <si>
    <t>+55 (62) 99134-1898</t>
  </si>
  <si>
    <t>Esposa Livia</t>
  </si>
  <si>
    <t>62991683095</t>
  </si>
  <si>
    <t>(62) 98564-4523</t>
  </si>
  <si>
    <t>1984-06-24</t>
  </si>
  <si>
    <t>João Victor Vieira de Pádua</t>
  </si>
  <si>
    <t>+55 (52) 98215-1410</t>
  </si>
  <si>
    <t>Maria Alice</t>
  </si>
  <si>
    <t>62982455007</t>
  </si>
  <si>
    <t>1997-10-03</t>
  </si>
  <si>
    <t>Julia Jayme Maia</t>
  </si>
  <si>
    <t>+55 (62) 98253-1424</t>
  </si>
  <si>
    <t>Sim, Carol, Lucas, Thyago, Nayara</t>
  </si>
  <si>
    <t>Adryanne - Mãe</t>
  </si>
  <si>
    <t>62981815222</t>
  </si>
  <si>
    <t>Rogério - Pai</t>
  </si>
  <si>
    <t>62981790954</t>
  </si>
  <si>
    <t>2001-09-07</t>
  </si>
  <si>
    <t>Júlia Santos de Assis</t>
  </si>
  <si>
    <t>+55 (62) 98224-5578</t>
  </si>
  <si>
    <t>Neusa</t>
  </si>
  <si>
    <t>62981133823</t>
  </si>
  <si>
    <t>Tyessa</t>
  </si>
  <si>
    <t>62984476290</t>
  </si>
  <si>
    <t>Amoxicilina</t>
  </si>
  <si>
    <t>2004-09-21</t>
  </si>
  <si>
    <t>Karla Carvalho Miranda</t>
  </si>
  <si>
    <t>+55 (62) 99253-7279</t>
  </si>
  <si>
    <t>Terezinha R.Carvalho Miranda (mãe)</t>
  </si>
  <si>
    <t>(64) 992296863</t>
  </si>
  <si>
    <t>Talitah Carvalho dos Santos (prima)</t>
  </si>
  <si>
    <t>62982886429</t>
  </si>
  <si>
    <t>1977-10-31</t>
  </si>
  <si>
    <t>Karla Regina da Silva Rodrigues</t>
  </si>
  <si>
    <t>+55 (62) 99983-0332</t>
  </si>
  <si>
    <t>meu esposo Carlos Bruno Rodrigues</t>
  </si>
  <si>
    <t>6299518515</t>
  </si>
  <si>
    <t>1980-06-02</t>
  </si>
  <si>
    <t>Kauan Henrique de Siqueira Dutra</t>
  </si>
  <si>
    <t>+55 (62) 99847-7622</t>
  </si>
  <si>
    <t>Silvânia-GO</t>
  </si>
  <si>
    <t>Taianny Dutra</t>
  </si>
  <si>
    <t>62 99941-3562</t>
  </si>
  <si>
    <t>Guilherme Sousa</t>
  </si>
  <si>
    <t>62 99680-0397</t>
  </si>
  <si>
    <t>2004-08-04</t>
  </si>
  <si>
    <t>Kleiva Gonçalves Venâncio</t>
  </si>
  <si>
    <t>+55 (62) 98459-4855</t>
  </si>
  <si>
    <t>Jussara Go</t>
  </si>
  <si>
    <t>Iêda Aparecida Gonçalves</t>
  </si>
  <si>
    <t>62984430611</t>
  </si>
  <si>
    <t>Camila Camargo Vieira</t>
  </si>
  <si>
    <t>62982266021</t>
  </si>
  <si>
    <t>1993-05-19</t>
  </si>
  <si>
    <t>Larissa Laisa dos Santos</t>
  </si>
  <si>
    <t>+55 (62) 99158-1441</t>
  </si>
  <si>
    <t>Édson (pai)</t>
  </si>
  <si>
    <t>62 99267 9516</t>
  </si>
  <si>
    <t>Maria (mãe)</t>
  </si>
  <si>
    <t>62 99268 5471</t>
  </si>
  <si>
    <t>1987-01-18</t>
  </si>
  <si>
    <t>Larisse da Conceição de avis</t>
  </si>
  <si>
    <t>+55 (62) 99384-8361</t>
  </si>
  <si>
    <t>Lucas Alves Rodrigues</t>
  </si>
  <si>
    <t>Jedeildo</t>
  </si>
  <si>
    <t>62996752362</t>
  </si>
  <si>
    <t>Renata</t>
  </si>
  <si>
    <t>62984529590</t>
  </si>
  <si>
    <t>1997-06-14</t>
  </si>
  <si>
    <t>LAURA NEVES</t>
  </si>
  <si>
    <t>+55 (62) 99947-5083</t>
  </si>
  <si>
    <t>Silvania</t>
  </si>
  <si>
    <t>Carlos Bruno, Carla Rodrigues, Tânia Monica</t>
  </si>
  <si>
    <t>Maryanna</t>
  </si>
  <si>
    <t>62999573333</t>
  </si>
  <si>
    <t>Diogo Favaretti</t>
  </si>
  <si>
    <t>62998056686</t>
  </si>
  <si>
    <t>1968-01-03</t>
  </si>
  <si>
    <t>Leandro Rocha Ribeiro</t>
  </si>
  <si>
    <t>+55 (62) 98445-2974</t>
  </si>
  <si>
    <t>Sim Antônio (marido da Marciella)</t>
  </si>
  <si>
    <t>Eidnara esposa 62-98412-8380</t>
  </si>
  <si>
    <t>62984690899</t>
  </si>
  <si>
    <t>Paula irmã 62-984452974</t>
  </si>
  <si>
    <t>62-98412-8380</t>
  </si>
  <si>
    <t>1982-08-01</t>
  </si>
  <si>
    <t>leonardo pires crispim de sousa</t>
  </si>
  <si>
    <t>+55 (62) 99176-0830</t>
  </si>
  <si>
    <t>Sandra (esposa)</t>
  </si>
  <si>
    <t>62 99133-7823</t>
  </si>
  <si>
    <t>Gustavo ( amigo )</t>
  </si>
  <si>
    <t>62991321718</t>
  </si>
  <si>
    <t>1984-04-11</t>
  </si>
  <si>
    <t>Ligiane Paula Ribeiro</t>
  </si>
  <si>
    <t>+55 (62) 99368-8383</t>
  </si>
  <si>
    <t>Ricardo ( esposo )</t>
  </si>
  <si>
    <t>62 994307132</t>
  </si>
  <si>
    <t>Sebastião ( pai)</t>
  </si>
  <si>
    <t>62 991410233</t>
  </si>
  <si>
    <t>A cheiros ( renite alérgica</t>
  </si>
  <si>
    <t>1980-10-25</t>
  </si>
  <si>
    <t>LUARA COUTO BARBOZA</t>
  </si>
  <si>
    <t>+55 (62) 99258-6183</t>
  </si>
  <si>
    <t>luane irmã</t>
  </si>
  <si>
    <t>62996330294</t>
  </si>
  <si>
    <t>Luciene mãe</t>
  </si>
  <si>
    <t>62 99934-7939</t>
  </si>
  <si>
    <t>rinite alérgica, alergia a cachorro e gato</t>
  </si>
  <si>
    <t>2002-09-19</t>
  </si>
  <si>
    <t>+55 (62) 99303-0310</t>
  </si>
  <si>
    <t>sim. Larisse da Conceição Avis</t>
  </si>
  <si>
    <t>Moeme</t>
  </si>
  <si>
    <t>6298420-7483</t>
  </si>
  <si>
    <t>1992-06-14</t>
  </si>
  <si>
    <t>+55 (62) 99942-2008</t>
  </si>
  <si>
    <t>sim. meu esposo Cirilo de Jesus Soares</t>
  </si>
  <si>
    <t>Renzo Costa</t>
  </si>
  <si>
    <t>62 99321-3191</t>
  </si>
  <si>
    <t>Thiago Costa</t>
  </si>
  <si>
    <t>6298586-2688</t>
  </si>
  <si>
    <t>diporona e derivados de timerosal</t>
  </si>
  <si>
    <t>1981-09-19</t>
  </si>
  <si>
    <t>luciano costa</t>
  </si>
  <si>
    <t>+55 (62) 99407-9898</t>
  </si>
  <si>
    <t>vanessa</t>
  </si>
  <si>
    <t>(62 995346652)</t>
  </si>
  <si>
    <t>victor</t>
  </si>
  <si>
    <t>62 981155050</t>
  </si>
  <si>
    <t>1976-11-27</t>
  </si>
  <si>
    <t>LUCIANO FRANCISCO DE OLIVEIRA</t>
  </si>
  <si>
    <t>+55 (62) 99181-2068</t>
  </si>
  <si>
    <t>Lionora - irmã</t>
  </si>
  <si>
    <t>(62) 9.9227-4707</t>
  </si>
  <si>
    <t>Ailton - cinhado</t>
  </si>
  <si>
    <t>0146299229-2348</t>
  </si>
  <si>
    <t>1977-06-02</t>
  </si>
  <si>
    <t>Ludmilla Batista da Silva</t>
  </si>
  <si>
    <t>+55 (62) 99854-1307</t>
  </si>
  <si>
    <t>Erlane</t>
  </si>
  <si>
    <t>62999140426</t>
  </si>
  <si>
    <t>Kamylla</t>
  </si>
  <si>
    <t>62998742254</t>
  </si>
  <si>
    <t>1992-07-13</t>
  </si>
  <si>
    <t>Luigi Gabriel Batista do Carmo</t>
  </si>
  <si>
    <t>(61) 99630-4055</t>
  </si>
  <si>
    <t>Rebeca natalia</t>
  </si>
  <si>
    <t>62985073180</t>
  </si>
  <si>
    <t>Ednalva</t>
  </si>
  <si>
    <t>61981993244</t>
  </si>
  <si>
    <t>1998-11-07</t>
  </si>
  <si>
    <t>Luiz Crispim</t>
  </si>
  <si>
    <t>+55 (11) 95937-0124</t>
  </si>
  <si>
    <t>Felipe</t>
  </si>
  <si>
    <t>+55 62 8422-9003</t>
  </si>
  <si>
    <t>Leo</t>
  </si>
  <si>
    <t>+55 62 9178-3364</t>
  </si>
  <si>
    <t>1973-11-25</t>
  </si>
  <si>
    <t>Luzivânia Vieira Jardim Alencar</t>
  </si>
  <si>
    <t>+55 (62) 99255-2374</t>
  </si>
  <si>
    <t>Antonio Araujo</t>
  </si>
  <si>
    <t>62 986490815</t>
  </si>
  <si>
    <t>Cleusa</t>
  </si>
  <si>
    <t>62 985643143</t>
  </si>
  <si>
    <t>1972-12-13</t>
  </si>
  <si>
    <t>MARCELO PORTO CORTEZ BITTAR</t>
  </si>
  <si>
    <t>+55 (62) 99927-1473</t>
  </si>
  <si>
    <t>igor</t>
  </si>
  <si>
    <t>62 99171 8768</t>
  </si>
  <si>
    <t>wanessa</t>
  </si>
  <si>
    <t>62 991743636</t>
  </si>
  <si>
    <t>1974-08-11</t>
  </si>
  <si>
    <t>MARCILEI PEREIRA FARIA</t>
  </si>
  <si>
    <t>+55 (62) 99700-3388</t>
  </si>
  <si>
    <t>DULCE - ESPOSA</t>
  </si>
  <si>
    <t>62 99820-0603</t>
  </si>
  <si>
    <t>RAFAEL - FILHO</t>
  </si>
  <si>
    <t>62 99941-6085</t>
  </si>
  <si>
    <t>1977-06-03</t>
  </si>
  <si>
    <t>Marcos Aurélio Barreto Savio</t>
  </si>
  <si>
    <t>+55 (62) 98305-5595</t>
  </si>
  <si>
    <t>Vitória Alves Sardinha - esposa</t>
  </si>
  <si>
    <t>José Antonio -cunhado</t>
  </si>
  <si>
    <t>+55 62 98128-7383</t>
  </si>
  <si>
    <t>Jair -sogro</t>
  </si>
  <si>
    <t>+55 62 98249-4217</t>
  </si>
  <si>
    <t>1996-03-17</t>
  </si>
  <si>
    <t>Marcos Felipe de Freitas Martins</t>
  </si>
  <si>
    <t>+55 (62) 98279-5732</t>
  </si>
  <si>
    <t>Sim Ariane Dias</t>
  </si>
  <si>
    <t>Alessandro</t>
  </si>
  <si>
    <t>62 9 85999216</t>
  </si>
  <si>
    <t>Elisangela</t>
  </si>
  <si>
    <t>62 9 84925413</t>
  </si>
  <si>
    <t>1997-03-27</t>
  </si>
  <si>
    <t>Marcos Vinícius Batista Ferreira</t>
  </si>
  <si>
    <t>+55 (62) 99943-5664</t>
  </si>
  <si>
    <t>Namorada (Rafaela Freitas)</t>
  </si>
  <si>
    <t>Mãe (Eslane)</t>
  </si>
  <si>
    <t>62 996443871</t>
  </si>
  <si>
    <t>Irmã (Rayane)</t>
  </si>
  <si>
    <t>62 996379707</t>
  </si>
  <si>
    <t>2002-10-27</t>
  </si>
  <si>
    <t>Marcus Vinicius de Oliveira Rodrigues</t>
  </si>
  <si>
    <t>+55 (64) 98152-0715</t>
  </si>
  <si>
    <t>Emanuel</t>
  </si>
  <si>
    <t>62981504778</t>
  </si>
  <si>
    <t>6492965249</t>
  </si>
  <si>
    <t>crustáceos frutos do mar</t>
  </si>
  <si>
    <t>1999-07-09</t>
  </si>
  <si>
    <t>Maria Aparecida Fonseca Pereira</t>
  </si>
  <si>
    <t>+55 (62) 99676-2111</t>
  </si>
  <si>
    <t>Goiânia-GO</t>
  </si>
  <si>
    <t>não que eu saiba</t>
  </si>
  <si>
    <t>Rosival -esposo</t>
  </si>
  <si>
    <t>62 9930-0506</t>
  </si>
  <si>
    <t>Maise - filha</t>
  </si>
  <si>
    <t>62 98229-0600</t>
  </si>
  <si>
    <t>1957-11-21</t>
  </si>
  <si>
    <t>Maria Clara Silva Scarpa</t>
  </si>
  <si>
    <t>+55 (62) 98183-0324</t>
  </si>
  <si>
    <t>Cunhado - Thiago Machado dos Santos</t>
  </si>
  <si>
    <t>Leila Aparecida da Silva</t>
  </si>
  <si>
    <t>+55 62 98271-0054</t>
  </si>
  <si>
    <t>Roberto Carlos Scaroa</t>
  </si>
  <si>
    <t>+55 62 99958-0084</t>
  </si>
  <si>
    <t>1998-12-17</t>
  </si>
  <si>
    <t>MARIA DE LOURDES PEREIRA SARDINHA RODRIGUES</t>
  </si>
  <si>
    <t>+55 (62) 99635-8839</t>
  </si>
  <si>
    <t>GOIANIA</t>
  </si>
  <si>
    <t>fernando Rodrigues</t>
  </si>
  <si>
    <t>62996358839</t>
  </si>
  <si>
    <t>brenner Rodrigues</t>
  </si>
  <si>
    <t>62996814290</t>
  </si>
  <si>
    <t>insetos</t>
  </si>
  <si>
    <t>1971-11-24</t>
  </si>
  <si>
    <t>Maria Eduarda Barroso dos Santos</t>
  </si>
  <si>
    <t>+55 (62) 99666-0772</t>
  </si>
  <si>
    <t>Ana carla</t>
  </si>
  <si>
    <t>62999235583</t>
  </si>
  <si>
    <t>62981129126</t>
  </si>
  <si>
    <t>2004-06-27</t>
  </si>
  <si>
    <t>Maria Eduarda Resende Santos</t>
  </si>
  <si>
    <t>+55 (62) 99958-6468</t>
  </si>
  <si>
    <t>Thaise Oliveira Resende (mãe)</t>
  </si>
  <si>
    <t>(62)981231790</t>
  </si>
  <si>
    <t>Eduardo Vieira dos Santos (pai)</t>
  </si>
  <si>
    <t>(62)981477436</t>
  </si>
  <si>
    <t>2004-01-31</t>
  </si>
  <si>
    <t>Maria Ivone Pinto Brandão Silva</t>
  </si>
  <si>
    <t>+55 (62) 99103-4522</t>
  </si>
  <si>
    <t>sim. esposo: Aires Silva</t>
  </si>
  <si>
    <t>(11)93321-1010</t>
  </si>
  <si>
    <t>Frutos do Mar</t>
  </si>
  <si>
    <t>1963-09-14</t>
  </si>
  <si>
    <t>mariana linhares</t>
  </si>
  <si>
    <t>+55 (62) 99433-5080</t>
  </si>
  <si>
    <t>Pedro</t>
  </si>
  <si>
    <t>Isabela</t>
  </si>
  <si>
    <t>62982543028</t>
  </si>
  <si>
    <t>Karol</t>
  </si>
  <si>
    <t>62981199154</t>
  </si>
  <si>
    <t>sou intolerante a glúten/lactose</t>
  </si>
  <si>
    <t>1992-03-23</t>
  </si>
  <si>
    <t>Marisa Edith Arias</t>
  </si>
  <si>
    <t>+55 (62) 98113-1375</t>
  </si>
  <si>
    <t>GOiania</t>
  </si>
  <si>
    <t>Thiago Lopes Damasceno</t>
  </si>
  <si>
    <t>Marina</t>
  </si>
  <si>
    <t>62984709419</t>
  </si>
  <si>
    <t>Geralda</t>
  </si>
  <si>
    <t>62981419250</t>
  </si>
  <si>
    <t>1977-04-14</t>
  </si>
  <si>
    <t>MICHAEL SILVA DE ARAUJO</t>
  </si>
  <si>
    <t>+55 (62) 99295-9042</t>
  </si>
  <si>
    <t>SIM, WENDEL, REGIANE, IURI, PENELOPE, KAIQUE</t>
  </si>
  <si>
    <t>WENDEL CANUTO IRMÃO</t>
  </si>
  <si>
    <t>62982315059</t>
  </si>
  <si>
    <t>REGIANE CUNHADA</t>
  </si>
  <si>
    <t>62982946306</t>
  </si>
  <si>
    <t>1981-08-24</t>
  </si>
  <si>
    <t>Nara Campos Terra</t>
  </si>
  <si>
    <t>+55 (62) 98180-1676</t>
  </si>
  <si>
    <t>Nácza</t>
  </si>
  <si>
    <t>(62)982691516</t>
  </si>
  <si>
    <t>Nábia</t>
  </si>
  <si>
    <t>(62)981182219</t>
  </si>
  <si>
    <t>2005-08-04</t>
  </si>
  <si>
    <t>Natalia de Vasconcelos Saraiva</t>
  </si>
  <si>
    <t>+55 (62) 99325-2912</t>
  </si>
  <si>
    <t>goianira</t>
  </si>
  <si>
    <t>Fernanda de Vasconcelos Saraiva</t>
  </si>
  <si>
    <t>62981897671</t>
  </si>
  <si>
    <t>Francisca Vilma de Vasconcelos</t>
  </si>
  <si>
    <t>62991887495</t>
  </si>
  <si>
    <t>Vonal - remédio para enjôo</t>
  </si>
  <si>
    <t>1992-12-25</t>
  </si>
  <si>
    <t>Neide Adriana de Souza Caixeta</t>
  </si>
  <si>
    <t>+55 (62) 99996-7283</t>
  </si>
  <si>
    <t>Isadora - Filha</t>
  </si>
  <si>
    <t>64993360401</t>
  </si>
  <si>
    <t>Laudo - Marido</t>
  </si>
  <si>
    <t>62999967283</t>
  </si>
  <si>
    <t>1975-02-02</t>
  </si>
  <si>
    <t>Nilson Gomes da Silva</t>
  </si>
  <si>
    <t>+55 (62) 99622-7114</t>
  </si>
  <si>
    <t>Aline Costa paiva</t>
  </si>
  <si>
    <t>62999481903</t>
  </si>
  <si>
    <t>1968-10-05</t>
  </si>
  <si>
    <t>Nivaldo Antônio Bueno</t>
  </si>
  <si>
    <t>+55 (62) 99939-1892</t>
  </si>
  <si>
    <t>62 99945-2232</t>
  </si>
  <si>
    <t>62999059711</t>
  </si>
  <si>
    <t>62999546054</t>
  </si>
  <si>
    <t>1988-12-06</t>
  </si>
  <si>
    <t>Nycolly Alves Santos</t>
  </si>
  <si>
    <t>+55 (62) 98219-3730</t>
  </si>
  <si>
    <t>Junio Batista (pai)</t>
  </si>
  <si>
    <t>62999840302</t>
  </si>
  <si>
    <t>Guilherme (irmão)</t>
  </si>
  <si>
    <t>981954933</t>
  </si>
  <si>
    <t>2003-07-05</t>
  </si>
  <si>
    <t>Nádia Regina Coelho Moura</t>
  </si>
  <si>
    <t>+55 (62) 98557-0108</t>
  </si>
  <si>
    <t>goiânia</t>
  </si>
  <si>
    <t>Antonio Carlos Moura</t>
  </si>
  <si>
    <t>+55 62 98103-0562</t>
  </si>
  <si>
    <t>Silma Coelho Moura</t>
  </si>
  <si>
    <t>62985570108</t>
  </si>
  <si>
    <t>hidrocortisona, abelhas, mosquitos</t>
  </si>
  <si>
    <t>1991-05-04</t>
  </si>
  <si>
    <t>Paulo Barbosa de Oliveira</t>
  </si>
  <si>
    <t>+55 (62) 99629-3597</t>
  </si>
  <si>
    <t>Sim, Fernanda Gonçalves, Elisvania Maria, Nilson Oliveira, Matheus Romuldo</t>
  </si>
  <si>
    <t>62998477709</t>
  </si>
  <si>
    <t>1962-06-19</t>
  </si>
  <si>
    <t>PAULO GODOI</t>
  </si>
  <si>
    <t>+55 (62) 99318-7871</t>
  </si>
  <si>
    <t>Sim, Valter Jr. como servidor</t>
  </si>
  <si>
    <t>Michel</t>
  </si>
  <si>
    <t>62982199507</t>
  </si>
  <si>
    <t>João Reis</t>
  </si>
  <si>
    <t>62983019799</t>
  </si>
  <si>
    <t>1995-11-25</t>
  </si>
  <si>
    <t>Pedro igor Garcia Marques</t>
  </si>
  <si>
    <t>+55 (62) 99861-3334</t>
  </si>
  <si>
    <t>Amanda Aguair</t>
  </si>
  <si>
    <t>62981122395</t>
  </si>
  <si>
    <t>0</t>
  </si>
  <si>
    <t>1993-05-23</t>
  </si>
  <si>
    <t>Pedro Luan Torres</t>
  </si>
  <si>
    <t>+55 (62) 98618-7482</t>
  </si>
  <si>
    <t>62986292015 Angela Roberta esposa</t>
  </si>
  <si>
    <t>62986292015</t>
  </si>
  <si>
    <t>2001-08-16</t>
  </si>
  <si>
    <t>Pedro Paulo Barbosa Ferraz</t>
  </si>
  <si>
    <t>+55 (62) 99203-0273</t>
  </si>
  <si>
    <t>Alixandre Bruno</t>
  </si>
  <si>
    <t>62 99279-7801</t>
  </si>
  <si>
    <t>Monica Sousa</t>
  </si>
  <si>
    <t>62 99620-3940</t>
  </si>
  <si>
    <t>Xarope</t>
  </si>
  <si>
    <t>2003-04-22</t>
  </si>
  <si>
    <t>Pedro Quintiliano da Fonseca</t>
  </si>
  <si>
    <t>+55 (79) 99971-5577</t>
  </si>
  <si>
    <t>Aracaju</t>
  </si>
  <si>
    <t>Andrea</t>
  </si>
  <si>
    <t>71 99114-9203</t>
  </si>
  <si>
    <t>Gustavo</t>
  </si>
  <si>
    <t>79 99979-3134</t>
  </si>
  <si>
    <t>1979-05-25</t>
  </si>
  <si>
    <t>Polianna Vieira Castro</t>
  </si>
  <si>
    <t>+55 (62) 99933-4654</t>
  </si>
  <si>
    <t>Cleonis Castro</t>
  </si>
  <si>
    <t>Dipirona 1g/ mosquito</t>
  </si>
  <si>
    <t>1984-11-13</t>
  </si>
  <si>
    <t>POLLYANA MEDEIROS VILAR</t>
  </si>
  <si>
    <t>+55 (62) 99161-8525</t>
  </si>
  <si>
    <t>Bárbara, vai servir</t>
  </si>
  <si>
    <t>mae 86035908 wtpp</t>
  </si>
  <si>
    <t>62991618525</t>
  </si>
  <si>
    <t>hernani 985479948</t>
  </si>
  <si>
    <t>62982305646</t>
  </si>
  <si>
    <t>penicilina</t>
  </si>
  <si>
    <t>1992-10-16</t>
  </si>
  <si>
    <t>Rafaela Freitas</t>
  </si>
  <si>
    <t>+55 (64) 99958-1360</t>
  </si>
  <si>
    <t>Namorado (Marcos Vinícius)</t>
  </si>
  <si>
    <t>Mãe (Fabiana)</t>
  </si>
  <si>
    <t>62999000024</t>
  </si>
  <si>
    <t>Kely (amiga próxima)</t>
  </si>
  <si>
    <t>62999577345</t>
  </si>
  <si>
    <t>Amoxicicilina</t>
  </si>
  <si>
    <t>2002-01-06</t>
  </si>
  <si>
    <t>Raul Ganassini</t>
  </si>
  <si>
    <t>Sim minha esposa Bruna</t>
  </si>
  <si>
    <t>66.996215646</t>
  </si>
  <si>
    <t>Franciele Pasold</t>
  </si>
  <si>
    <t>Rodrigo Ralliele Silva Almeida</t>
  </si>
  <si>
    <t>+55 (62) 95579-5583</t>
  </si>
  <si>
    <t>SIM, RICKEYE</t>
  </si>
  <si>
    <t>GIOVANA - NAMORADA</t>
  </si>
  <si>
    <t>62 8537-6137</t>
  </si>
  <si>
    <t>SANDRA - MAE</t>
  </si>
  <si>
    <t>62 9461-4668</t>
  </si>
  <si>
    <t>2004-02-03</t>
  </si>
  <si>
    <t>Rodrigo seronni frota</t>
  </si>
  <si>
    <t>+55 (62) 98159-5545</t>
  </si>
  <si>
    <t>Leonardo crispim</t>
  </si>
  <si>
    <t>Irmão Hugo Walter Frota Beto</t>
  </si>
  <si>
    <t>32218000</t>
  </si>
  <si>
    <t>Irmão Pedro Seronni Frota</t>
  </si>
  <si>
    <t>1979-10-13</t>
  </si>
  <si>
    <t>Sara Angel Pinho de Paula Pacheco</t>
  </si>
  <si>
    <t>+55 (62) 99304-2632</t>
  </si>
  <si>
    <t>Edson Junior esposo, amigos: Josane, Pedro Luan, e Thais (está na lista de reserva)</t>
  </si>
  <si>
    <t>Mãe Jackeline</t>
  </si>
  <si>
    <t>Tia Suely</t>
  </si>
  <si>
    <t>62 99292-3030 ligação/WhatsApp</t>
  </si>
  <si>
    <t>alimentação vegetariana, alergia:bromopida, dramin.</t>
  </si>
  <si>
    <t>1999-07-14</t>
  </si>
  <si>
    <t>Symonne Araújo Brandão de Paula</t>
  </si>
  <si>
    <t>+55 (62) 99614-3634</t>
  </si>
  <si>
    <t>Felipe Carvalho e Vanessa Samara</t>
  </si>
  <si>
    <t>Marido - Ailton</t>
  </si>
  <si>
    <t>62 996310546</t>
  </si>
  <si>
    <t>Filho - Lucas</t>
  </si>
  <si>
    <t>+55 62 99153-2909</t>
  </si>
  <si>
    <t>Medicamento Sulfa</t>
  </si>
  <si>
    <t>1972-07-08</t>
  </si>
  <si>
    <t>Tatiana Franco dos Santos</t>
  </si>
  <si>
    <t>+55 (62) 98285-0337</t>
  </si>
  <si>
    <t>Thalita Franco (irmã)</t>
  </si>
  <si>
    <t>62-981827480</t>
  </si>
  <si>
    <t>Pedro Assis (cunhado)</t>
  </si>
  <si>
    <t>62-981762137</t>
  </si>
  <si>
    <t>Sim, alergia de pelo, mofo e poeira.</t>
  </si>
  <si>
    <t>1986-04-09</t>
  </si>
  <si>
    <t>Tavilla Silva Lagares</t>
  </si>
  <si>
    <t>+55 (62) 99446-4641</t>
  </si>
  <si>
    <t>Tafarel - esposo</t>
  </si>
  <si>
    <t>62991713327</t>
  </si>
  <si>
    <t>Marlene - mãe</t>
  </si>
  <si>
    <t>62992237226</t>
  </si>
  <si>
    <t>1994-11-12</t>
  </si>
  <si>
    <t>Taynara Batista D'Ávila</t>
  </si>
  <si>
    <t>+55 (62) 98215-1915</t>
  </si>
  <si>
    <t>Vinícius</t>
  </si>
  <si>
    <t>62985536637</t>
  </si>
  <si>
    <t>Jaime</t>
  </si>
  <si>
    <t>62981742601</t>
  </si>
  <si>
    <t>1989-06-27</t>
  </si>
  <si>
    <t>Thairine Rodrigues da silva</t>
  </si>
  <si>
    <t>+55 (62) 98429-1300</t>
  </si>
  <si>
    <t>Mãe (Giovanna)</t>
  </si>
  <si>
    <t>6298402-0946</t>
  </si>
  <si>
    <t>Pai (Cosmo)</t>
  </si>
  <si>
    <t>62996888589</t>
  </si>
  <si>
    <t>1998-04-10</t>
  </si>
  <si>
    <t>thais borges bonfim</t>
  </si>
  <si>
    <t>+55 (62) 99204-2489</t>
  </si>
  <si>
    <t>62 8240-8475 - rhuan esposo</t>
  </si>
  <si>
    <t>62 8240-8475</t>
  </si>
  <si>
    <t>62 9623-2195 - geiziany irmã</t>
  </si>
  <si>
    <t>62 9623-2195</t>
  </si>
  <si>
    <t>2003-01-30</t>
  </si>
  <si>
    <t>+55 (62) 98131-6708</t>
  </si>
  <si>
    <t>1980-04-16</t>
  </si>
  <si>
    <t>Thiago Machado dos Santos</t>
  </si>
  <si>
    <t>+55 (62) 98577-8513</t>
  </si>
  <si>
    <t>Gabriella Arruda</t>
  </si>
  <si>
    <t>62982232555</t>
  </si>
  <si>
    <t>Maria Lúcia</t>
  </si>
  <si>
    <t>62999142285</t>
  </si>
  <si>
    <t>1984-10-21</t>
  </si>
  <si>
    <t>Tiago Nunes de Castro</t>
  </si>
  <si>
    <t>+55 (62) 99844-4010</t>
  </si>
  <si>
    <t>Trindade</t>
  </si>
  <si>
    <t>Lídia Mônica Carvalho de Castro</t>
  </si>
  <si>
    <t>62998444012</t>
  </si>
  <si>
    <t>Fabio Nunes de Castro</t>
  </si>
  <si>
    <t>62999992006</t>
  </si>
  <si>
    <t>1984-05-07</t>
  </si>
  <si>
    <t>TÂNIA MÔNICA</t>
  </si>
  <si>
    <t>+55 (62) 99959-0095</t>
  </si>
  <si>
    <t>Sim, Carlos Bruno, Carla Rodrigues, Laura Neves</t>
  </si>
  <si>
    <t>Maryana</t>
  </si>
  <si>
    <t>Diogo</t>
  </si>
  <si>
    <t>1974-12-16</t>
  </si>
  <si>
    <t>Vanessa Samara Gonçalves</t>
  </si>
  <si>
    <t>+55 (64) 99289-0784</t>
  </si>
  <si>
    <t>São Luis de Montes Belos</t>
  </si>
  <si>
    <t>Sim. Felipe Carvalho de Matos e Symonne Araújo de Paula Brandão</t>
  </si>
  <si>
    <t>Reges - Compadre</t>
  </si>
  <si>
    <t>62 99216 2599</t>
  </si>
  <si>
    <t>Larissa - Prima</t>
  </si>
  <si>
    <t>62 9958 3694</t>
  </si>
  <si>
    <t>1975-12-26</t>
  </si>
  <si>
    <t>Victor Hugo Ribeiro Clementino</t>
  </si>
  <si>
    <t>+55 (62) 99433-5038</t>
  </si>
  <si>
    <t>Nivalda</t>
  </si>
  <si>
    <t>62995519243</t>
  </si>
  <si>
    <t>Lorena</t>
  </si>
  <si>
    <t>62991469453</t>
  </si>
  <si>
    <t>Picada de inseto</t>
  </si>
  <si>
    <t>1991-04-06</t>
  </si>
  <si>
    <t>Vilma Júlia Estevão</t>
  </si>
  <si>
    <t>+55 (62) 99249-1342</t>
  </si>
  <si>
    <t>Henrique Estevão 992940702</t>
  </si>
  <si>
    <t>62992940702</t>
  </si>
  <si>
    <t>João Paulo 992234060</t>
  </si>
  <si>
    <t>62992234060</t>
  </si>
  <si>
    <t>1954-11-18</t>
  </si>
  <si>
    <t>Vitória Alves Sardinha</t>
  </si>
  <si>
    <t>+55 (62) 98148-3874</t>
  </si>
  <si>
    <t>Marcos Aurélio Barreto Sávio - esposo</t>
  </si>
  <si>
    <t>Clarisse Martins -cunhada</t>
  </si>
  <si>
    <t>+55 62 99996-0681</t>
  </si>
  <si>
    <t>Celi - Mãe</t>
  </si>
  <si>
    <t>+55 62 98188-9497</t>
  </si>
  <si>
    <t>1996-03-22</t>
  </si>
  <si>
    <t>Wanessa morais Neri</t>
  </si>
  <si>
    <t>+55 (62) 98147-2366</t>
  </si>
  <si>
    <t>Iramar</t>
  </si>
  <si>
    <t>6299231253</t>
  </si>
  <si>
    <t>Ana Vitória</t>
  </si>
  <si>
    <t>62983160044</t>
  </si>
  <si>
    <t>1982-06-26</t>
  </si>
  <si>
    <t>Weronica  Fernandes Carneiro da Cruz</t>
  </si>
  <si>
    <t>+55 (64) 98405-8328</t>
  </si>
  <si>
    <t>Dilson Alvez Fernandes</t>
  </si>
  <si>
    <t>+55 62 8407-3625</t>
  </si>
  <si>
    <t>1990-12-26</t>
  </si>
  <si>
    <t>Wilson ferreira filho</t>
  </si>
  <si>
    <t>+55 (64) 99328-8272</t>
  </si>
  <si>
    <t>São Luís de montes belos</t>
  </si>
  <si>
    <t>Sim Ana Julia</t>
  </si>
  <si>
    <t>Ana Julia</t>
  </si>
  <si>
    <t>62982829115</t>
  </si>
  <si>
    <t>César Pedro</t>
  </si>
  <si>
    <t>1986-08-01</t>
  </si>
  <si>
    <t>onibus 01</t>
  </si>
  <si>
    <t>FC.</t>
  </si>
  <si>
    <t>CAMPISTAS</t>
  </si>
  <si>
    <t>FONE:</t>
  </si>
  <si>
    <t>onibus 02</t>
  </si>
  <si>
    <t>onibus 03</t>
  </si>
  <si>
    <t>onibus 04</t>
  </si>
  <si>
    <t>CASAIS – VIII ACAMPAMENTO ESPÍRITO EMPREENDEDOR</t>
  </si>
  <si>
    <t>#</t>
  </si>
  <si>
    <t>FC</t>
  </si>
  <si>
    <t>FC CÔNJUGE</t>
  </si>
  <si>
    <t>NOME CÔNJUGE</t>
  </si>
  <si>
    <t>TRIBO CÔNJUGE</t>
  </si>
  <si>
    <t>Vanessa da Silva Prata</t>
  </si>
  <si>
    <t>Fernando Sousa Chaves</t>
  </si>
  <si>
    <t>DEMAIS CAMPISTAS COM CONHECIDOS:</t>
  </si>
  <si>
    <t>CONHECIDOS DECLARADOS</t>
  </si>
  <si>
    <t>Fernando Seiji Suzuki</t>
  </si>
  <si>
    <t>Luzimar Ribeiro de Almeida Suzuki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</si>
</sst>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8B4513"/>
      <name val="Arial"/>
    </font>
    <font>
      <b/>
      <sz val="10"/>
      <color rgb="FF000000"/>
      <name val="Arial"/>
    </font>
    <font>
      <b/>
      <sz val="10"/>
      <color rgb="FFC00000"/>
      <name val="Arial"/>
    </font>
    <font>
      <b/>
      <i/>
      <sz val="13"/>
      <color rgb="FF000000"/>
      <name val="Arial"/>
    </font>
    <font>
      <b/>
      <i/>
      <sz val="16"/>
      <color rgb="FF000000"/>
      <name val="Arial"/>
    </font>
    <font>
      <b/>
      <sz val="11"/>
      <name val="Arial"/>
    </font>
    <font>
      <b/>
      <sz val="11"/>
      <color rgb="FF1F4E79"/>
      <name val="Arial"/>
    </font>
    <font>
      <sz val="10"/>
      <color rgb="FF8B4513"/>
      <name val="Arial"/>
    </font>
    <font>
      <b/>
      <i/>
      <sz val="13"/>
      <color rgb="FFFFFFFF"/>
      <name val="Arial"/>
    </font>
    <font>
      <b/>
      <i/>
      <sz val="16"/>
      <color rgb="FFFFFFFF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000000"/>
      <name val="Arial"/>
    </font>
    <font>
      <b/>
      <sz val="11"/>
      <color theme="0"/>
      <name val="Arial"/>
    </font>
    <font>
      <b/>
      <sz val="11"/>
      <color theme="0"/>
      <name val="Arial"/>
      <family val="2"/>
    </font>
    <font>
      <b/>
      <i/>
      <sz val="13"/>
      <color rgb="FF000000"/>
      <name val="Arial"/>
      <family val="2"/>
    </font>
    <font>
      <b/>
      <sz val="11"/>
      <color rgb="FF1A1208"/>
      <name val="Arial"/>
    </font>
  </fonts>
  <fills count="3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0CC"/>
      </patternFill>
    </fill>
    <fill>
      <patternFill patternType="solid">
        <fgColor rgb="FFFF6600"/>
      </patternFill>
    </fill>
    <fill>
      <patternFill patternType="solid">
        <fgColor rgb="FFFFFFFF"/>
      </patternFill>
    </fill>
    <fill>
      <patternFill patternType="solid">
        <fgColor rgb="FF888888"/>
      </patternFill>
    </fill>
    <fill>
      <patternFill patternType="solid">
        <fgColor rgb="FFBFBFBF"/>
      </patternFill>
    </fill>
    <fill>
      <patternFill patternType="solid">
        <fgColor rgb="FF00B050"/>
      </patternFill>
    </fill>
    <fill>
      <patternFill patternType="solid">
        <fgColor rgb="FFDCE6F1"/>
      </patternFill>
    </fill>
    <fill>
      <patternFill patternType="solid">
        <fgColor rgb="FFFF99CC"/>
      </patternFill>
    </fill>
    <fill>
      <patternFill patternType="solid">
        <fgColor rgb="FFFF4444"/>
      </patternFill>
    </fill>
    <fill>
      <patternFill patternType="solid">
        <fgColor rgb="FF0070C0"/>
      </patternFill>
    </fill>
    <fill>
      <patternFill patternType="solid">
        <fgColor rgb="FF8B4513"/>
      </patternFill>
    </fill>
    <fill>
      <patternFill patternType="solid">
        <fgColor rgb="FFFFC000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E8E8"/>
      </patternFill>
    </fill>
    <fill>
      <patternFill patternType="solid">
        <fgColor rgb="FFFFE5CC"/>
      </patternFill>
    </fill>
    <fill>
      <patternFill patternType="solid">
        <fgColor rgb="FFFFD6EC"/>
      </patternFill>
    </fill>
    <fill>
      <patternFill patternType="solid">
        <fgColor rgb="FFDAEEF3"/>
      </patternFill>
    </fill>
    <fill>
      <patternFill patternType="solid">
        <fgColor rgb="FFEAF6E2"/>
      </patternFill>
    </fill>
    <fill>
      <patternFill patternType="solid">
        <fgColor rgb="FFF5E6DA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FF2F5496"/>
      </patternFill>
    </fill>
    <fill>
      <patternFill patternType="solid">
        <fgColor rgb="FFC00000"/>
      </patternFill>
    </fill>
    <fill>
      <patternFill patternType="solid">
        <fgColor rgb="FF404040"/>
      </patternFill>
    </fill>
    <fill>
      <patternFill patternType="solid">
        <fgColor theme="1"/>
        <bgColor indexed="64"/>
      </patternFill>
    </fill>
    <fill>
      <patternFill patternType="solid">
        <fgColor rgb="FFFF0000"/>
      </patternFill>
    </fill>
    <fill>
      <patternFill patternType="solid">
        <fgColor rgb="FF808080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0" fontId="4" fillId="0" borderId="0" xfId="0" applyFont="1"/>
    <xf numFmtId="0" fontId="4" fillId="0" borderId="9" xfId="0" applyFont="1" applyBorder="1"/>
    <xf numFmtId="0" fontId="0" fillId="0" borderId="10" xfId="0" applyBorder="1"/>
    <xf numFmtId="0" fontId="4" fillId="14" borderId="13" xfId="0" applyFont="1" applyFill="1" applyBorder="1" applyAlignment="1">
      <alignment horizontal="center" vertical="center"/>
    </xf>
    <xf numFmtId="0" fontId="4" fillId="14" borderId="14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9" fillId="15" borderId="13" xfId="0" applyFont="1" applyFill="1" applyBorder="1" applyAlignment="1">
      <alignment horizontal="center" vertical="center"/>
    </xf>
    <xf numFmtId="0" fontId="2" fillId="15" borderId="14" xfId="0" applyFont="1" applyFill="1" applyBorder="1" applyAlignment="1">
      <alignment horizontal="center" vertical="center"/>
    </xf>
    <xf numFmtId="0" fontId="4" fillId="16" borderId="13" xfId="0" applyFont="1" applyFill="1" applyBorder="1" applyAlignment="1">
      <alignment horizontal="left" vertical="center"/>
    </xf>
    <xf numFmtId="0" fontId="2" fillId="0" borderId="17" xfId="0" applyFont="1" applyBorder="1"/>
    <xf numFmtId="0" fontId="1" fillId="11" borderId="13" xfId="0" applyFont="1" applyFill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9" fillId="17" borderId="13" xfId="0" applyFont="1" applyFill="1" applyBorder="1" applyAlignment="1">
      <alignment horizontal="center" vertical="center"/>
    </xf>
    <xf numFmtId="0" fontId="2" fillId="17" borderId="14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2" xfId="0" applyBorder="1"/>
    <xf numFmtId="0" fontId="1" fillId="4" borderId="13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9" fillId="18" borderId="13" xfId="0" applyFont="1" applyFill="1" applyBorder="1" applyAlignment="1">
      <alignment horizontal="center" vertical="center"/>
    </xf>
    <xf numFmtId="0" fontId="2" fillId="18" borderId="14" xfId="0" applyFont="1" applyFill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4" fillId="10" borderId="14" xfId="0" applyFont="1" applyFill="1" applyBorder="1" applyAlignment="1">
      <alignment horizontal="center" vertical="center"/>
    </xf>
    <xf numFmtId="0" fontId="9" fillId="19" borderId="13" xfId="0" applyFont="1" applyFill="1" applyBorder="1" applyAlignment="1">
      <alignment horizontal="center" vertical="center"/>
    </xf>
    <xf numFmtId="0" fontId="2" fillId="19" borderId="14" xfId="0" applyFont="1" applyFill="1" applyBorder="1" applyAlignment="1">
      <alignment horizontal="center" vertical="center"/>
    </xf>
    <xf numFmtId="0" fontId="0" fillId="0" borderId="9" xfId="0" applyBorder="1"/>
    <xf numFmtId="0" fontId="1" fillId="12" borderId="13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9" fillId="20" borderId="13" xfId="0" applyFont="1" applyFill="1" applyBorder="1" applyAlignment="1">
      <alignment horizontal="center" vertical="center"/>
    </xf>
    <xf numFmtId="0" fontId="2" fillId="20" borderId="14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8" borderId="14" xfId="0" applyFont="1" applyFill="1" applyBorder="1" applyAlignment="1">
      <alignment horizontal="center" vertical="center"/>
    </xf>
    <xf numFmtId="0" fontId="9" fillId="21" borderId="13" xfId="0" applyFont="1" applyFill="1" applyBorder="1" applyAlignment="1">
      <alignment horizontal="center" vertical="center"/>
    </xf>
    <xf numFmtId="0" fontId="2" fillId="21" borderId="14" xfId="0" applyFont="1" applyFill="1" applyBorder="1" applyAlignment="1">
      <alignment horizontal="center" vertical="center"/>
    </xf>
    <xf numFmtId="0" fontId="1" fillId="13" borderId="13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9" fillId="22" borderId="13" xfId="0" applyFont="1" applyFill="1" applyBorder="1" applyAlignment="1">
      <alignment horizontal="center" vertical="center"/>
    </xf>
    <xf numFmtId="0" fontId="2" fillId="22" borderId="14" xfId="0" applyFont="1" applyFill="1" applyBorder="1" applyAlignment="1">
      <alignment horizontal="center" vertical="center"/>
    </xf>
    <xf numFmtId="0" fontId="9" fillId="23" borderId="13" xfId="0" applyFont="1" applyFill="1" applyBorder="1" applyAlignment="1">
      <alignment horizontal="center" vertical="center"/>
    </xf>
    <xf numFmtId="0" fontId="2" fillId="23" borderId="14" xfId="0" applyFont="1" applyFill="1" applyBorder="1" applyAlignment="1">
      <alignment horizontal="center" vertical="center"/>
    </xf>
    <xf numFmtId="0" fontId="1" fillId="28" borderId="13" xfId="0" applyFont="1" applyFill="1" applyBorder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9" fillId="24" borderId="13" xfId="0" applyFont="1" applyFill="1" applyBorder="1" applyAlignment="1">
      <alignment horizontal="center" vertical="center"/>
    </xf>
    <xf numFmtId="0" fontId="2" fillId="24" borderId="14" xfId="0" applyFont="1" applyFill="1" applyBorder="1" applyAlignment="1">
      <alignment horizontal="center" vertical="center"/>
    </xf>
    <xf numFmtId="0" fontId="1" fillId="29" borderId="1" xfId="0" applyFont="1" applyFill="1" applyBorder="1" applyAlignment="1">
      <alignment horizontal="left" vertical="center"/>
    </xf>
    <xf numFmtId="0" fontId="1" fillId="30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2" xfId="0" applyBorder="1"/>
    <xf numFmtId="0" fontId="10" fillId="17" borderId="1" xfId="0" applyFont="1" applyFill="1" applyBorder="1" applyAlignment="1">
      <alignment horizontal="left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10" fillId="21" borderId="1" xfId="0" applyFont="1" applyFill="1" applyBorder="1" applyAlignment="1">
      <alignment horizontal="left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10" fillId="23" borderId="1" xfId="0" applyFont="1" applyFill="1" applyBorder="1" applyAlignment="1">
      <alignment horizontal="left" vertical="center" wrapText="1"/>
    </xf>
    <xf numFmtId="0" fontId="10" fillId="24" borderId="1" xfId="0" applyFont="1" applyFill="1" applyBorder="1" applyAlignment="1">
      <alignment horizontal="left" vertical="center" wrapText="1"/>
    </xf>
    <xf numFmtId="0" fontId="1" fillId="29" borderId="1" xfId="0" applyFont="1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4" fillId="16" borderId="24" xfId="0" applyFont="1" applyFill="1" applyBorder="1" applyAlignment="1">
      <alignment horizontal="center" vertical="center"/>
    </xf>
    <xf numFmtId="0" fontId="4" fillId="16" borderId="24" xfId="0" applyFont="1" applyFill="1" applyBorder="1" applyAlignment="1">
      <alignment horizontal="left" vertical="center"/>
    </xf>
    <xf numFmtId="0" fontId="0" fillId="0" borderId="22" xfId="0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0" xfId="0"/>
    <xf numFmtId="0" fontId="0" fillId="0" borderId="16" xfId="0" applyBorder="1"/>
    <xf numFmtId="0" fontId="0" fillId="0" borderId="17" xfId="0" applyBorder="1"/>
    <xf numFmtId="0" fontId="2" fillId="0" borderId="10" xfId="0" applyFont="1" applyBorder="1" applyAlignment="1">
      <alignment horizontal="left"/>
    </xf>
    <xf numFmtId="0" fontId="0" fillId="0" borderId="10" xfId="0" applyBorder="1"/>
    <xf numFmtId="0" fontId="19" fillId="16" borderId="25" xfId="0" applyFont="1" applyFill="1" applyBorder="1" applyAlignment="1">
      <alignment horizontal="center" vertical="center"/>
    </xf>
    <xf numFmtId="0" fontId="0" fillId="0" borderId="26" xfId="0" applyBorder="1"/>
    <xf numFmtId="0" fontId="0" fillId="0" borderId="4" xfId="0" applyBorder="1" applyAlignment="1">
      <alignment horizontal="center"/>
    </xf>
    <xf numFmtId="0" fontId="0" fillId="0" borderId="4" xfId="0" applyBorder="1"/>
    <xf numFmtId="0" fontId="4" fillId="0" borderId="15" xfId="0" applyFont="1" applyBorder="1" applyAlignment="1">
      <alignment horizontal="center"/>
    </xf>
    <xf numFmtId="0" fontId="0" fillId="0" borderId="15" xfId="0" applyBorder="1"/>
    <xf numFmtId="0" fontId="2" fillId="0" borderId="18" xfId="0" applyFont="1" applyBorder="1" applyAlignment="1">
      <alignment horizontal="left"/>
    </xf>
    <xf numFmtId="0" fontId="0" fillId="0" borderId="18" xfId="0" applyBorder="1"/>
    <xf numFmtId="0" fontId="8" fillId="11" borderId="10" xfId="0" applyFont="1" applyFill="1" applyBorder="1" applyAlignment="1">
      <alignment horizontal="left"/>
    </xf>
    <xf numFmtId="0" fontId="11" fillId="8" borderId="6" xfId="0" applyFont="1" applyFill="1" applyBorder="1" applyAlignment="1">
      <alignment horizontal="left" vertical="center"/>
    </xf>
    <xf numFmtId="0" fontId="0" fillId="0" borderId="7" xfId="0" applyBorder="1"/>
    <xf numFmtId="0" fontId="8" fillId="8" borderId="9" xfId="0" applyFont="1" applyFill="1" applyBorder="1"/>
    <xf numFmtId="0" fontId="4" fillId="0" borderId="15" xfId="0" applyFont="1" applyBorder="1" applyAlignment="1">
      <alignment horizontal="left"/>
    </xf>
    <xf numFmtId="0" fontId="0" fillId="0" borderId="23" xfId="0" applyBorder="1" applyAlignment="1">
      <alignment horizontal="center"/>
    </xf>
    <xf numFmtId="0" fontId="4" fillId="0" borderId="10" xfId="0" applyFont="1" applyBorder="1" applyAlignment="1">
      <alignment horizontal="left"/>
    </xf>
    <xf numFmtId="0" fontId="8" fillId="12" borderId="10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12" fillId="4" borderId="8" xfId="0" applyFont="1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2" xfId="0" applyBorder="1"/>
    <xf numFmtId="0" fontId="8" fillId="10" borderId="9" xfId="0" applyFont="1" applyFill="1" applyBorder="1"/>
    <xf numFmtId="0" fontId="8" fillId="14" borderId="9" xfId="0" applyFont="1" applyFill="1" applyBorder="1"/>
    <xf numFmtId="0" fontId="4" fillId="0" borderId="9" xfId="0" applyFont="1" applyBorder="1" applyAlignment="1">
      <alignment horizontal="left"/>
    </xf>
    <xf numFmtId="0" fontId="7" fillId="14" borderId="8" xfId="0" applyFont="1" applyFill="1" applyBorder="1" applyAlignment="1">
      <alignment horizontal="center" vertical="center"/>
    </xf>
    <xf numFmtId="0" fontId="11" fillId="12" borderId="6" xfId="0" applyFont="1" applyFill="1" applyBorder="1" applyAlignment="1">
      <alignment horizontal="left" vertical="center"/>
    </xf>
    <xf numFmtId="0" fontId="8" fillId="10" borderId="10" xfId="0" applyFont="1" applyFill="1" applyBorder="1" applyAlignment="1">
      <alignment horizontal="left"/>
    </xf>
    <xf numFmtId="0" fontId="8" fillId="13" borderId="10" xfId="0" applyFont="1" applyFill="1" applyBorder="1" applyAlignment="1">
      <alignment horizontal="left"/>
    </xf>
    <xf numFmtId="0" fontId="8" fillId="4" borderId="9" xfId="0" applyFont="1" applyFill="1" applyBorder="1"/>
    <xf numFmtId="0" fontId="8" fillId="4" borderId="10" xfId="0" applyFont="1" applyFill="1" applyBorder="1" applyAlignment="1">
      <alignment horizontal="left"/>
    </xf>
    <xf numFmtId="0" fontId="12" fillId="11" borderId="8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12" fillId="28" borderId="8" xfId="0" applyFont="1" applyFill="1" applyBorder="1" applyAlignment="1">
      <alignment horizontal="center" vertical="center"/>
    </xf>
    <xf numFmtId="0" fontId="8" fillId="11" borderId="9" xfId="0" applyFont="1" applyFill="1" applyBorder="1"/>
    <xf numFmtId="0" fontId="0" fillId="0" borderId="21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7" borderId="10" xfId="0" applyFont="1" applyFill="1" applyBorder="1" applyAlignment="1">
      <alignment horizontal="left"/>
    </xf>
    <xf numFmtId="0" fontId="16" fillId="28" borderId="20" xfId="0" applyFont="1" applyFill="1" applyBorder="1"/>
    <xf numFmtId="0" fontId="8" fillId="12" borderId="9" xfId="0" applyFont="1" applyFill="1" applyBorder="1"/>
    <xf numFmtId="0" fontId="11" fillId="4" borderId="6" xfId="0" applyFont="1" applyFill="1" applyBorder="1" applyAlignment="1">
      <alignment horizontal="left" vertical="center"/>
    </xf>
    <xf numFmtId="0" fontId="17" fillId="28" borderId="10" xfId="0" applyFont="1" applyFill="1" applyBorder="1" applyAlignment="1">
      <alignment horizontal="left"/>
    </xf>
    <xf numFmtId="0" fontId="8" fillId="7" borderId="9" xfId="0" applyFont="1" applyFill="1" applyBorder="1"/>
    <xf numFmtId="0" fontId="12" fillId="13" borderId="8" xfId="0" applyFont="1" applyFill="1" applyBorder="1" applyAlignment="1">
      <alignment horizontal="center" vertical="center"/>
    </xf>
    <xf numFmtId="0" fontId="8" fillId="13" borderId="9" xfId="0" applyFont="1" applyFill="1" applyBorder="1"/>
    <xf numFmtId="0" fontId="11" fillId="11" borderId="6" xfId="0" applyFont="1" applyFill="1" applyBorder="1" applyAlignment="1">
      <alignment horizontal="left" vertical="center"/>
    </xf>
    <xf numFmtId="0" fontId="6" fillId="14" borderId="6" xfId="0" applyFont="1" applyFill="1" applyBorder="1" applyAlignment="1">
      <alignment horizontal="left" vertical="center"/>
    </xf>
    <xf numFmtId="0" fontId="18" fillId="7" borderId="6" xfId="0" applyFont="1" applyFill="1" applyBorder="1" applyAlignment="1">
      <alignment horizontal="left" vertical="center"/>
    </xf>
    <xf numFmtId="0" fontId="11" fillId="28" borderId="6" xfId="0" applyFont="1" applyFill="1" applyBorder="1" applyAlignment="1">
      <alignment horizontal="left" vertical="center"/>
    </xf>
    <xf numFmtId="0" fontId="6" fillId="10" borderId="6" xfId="0" applyFont="1" applyFill="1" applyBorder="1" applyAlignment="1">
      <alignment horizontal="left" vertical="center"/>
    </xf>
    <xf numFmtId="0" fontId="12" fillId="8" borderId="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16" fillId="28" borderId="19" xfId="0" applyFont="1" applyFill="1" applyBorder="1"/>
    <xf numFmtId="0" fontId="11" fillId="13" borderId="6" xfId="0" applyFont="1" applyFill="1" applyBorder="1" applyAlignment="1">
      <alignment horizontal="left" vertical="center"/>
    </xf>
    <xf numFmtId="0" fontId="7" fillId="10" borderId="8" xfId="0" applyFont="1" applyFill="1" applyBorder="1" applyAlignment="1">
      <alignment horizontal="center" vertical="center"/>
    </xf>
    <xf numFmtId="0" fontId="12" fillId="12" borderId="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left"/>
    </xf>
    <xf numFmtId="0" fontId="8" fillId="14" borderId="10" xfId="0" applyFont="1" applyFill="1" applyBorder="1" applyAlignment="1">
      <alignment horizontal="left"/>
    </xf>
    <xf numFmtId="0" fontId="5" fillId="0" borderId="0" xfId="0" applyFont="1"/>
    <xf numFmtId="0" fontId="13" fillId="2" borderId="0" xfId="0" applyFont="1" applyFill="1"/>
    <xf numFmtId="0" fontId="15" fillId="16" borderId="0" xfId="0" applyFont="1" applyFill="1"/>
    <xf numFmtId="0" fontId="14" fillId="2" borderId="0" xfId="0" applyFont="1" applyFill="1"/>
  </cellXfs>
  <cellStyles count="1">
    <cellStyle name="Normal" xfId="0" builtinId="0"/>
  </cellStyles>
  <dxfs count="36"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  <dxf>
      <font>
        <b/>
        <sz val="10"/>
        <color rgb="FFFFFFFF"/>
        <name val="Arial"/>
      </font>
      <fill>
        <patternFill patternType="solid">
          <fgColor rgb="FF00B050"/>
          <bgColor rgb="FF00B050"/>
        </patternFill>
      </fill>
    </dxf>
    <dxf>
      <font>
        <b/>
        <sz val="10"/>
        <color rgb="FFFFFFFF"/>
        <name val="Arial"/>
      </font>
      <fill>
        <patternFill patternType="solid">
          <fgColor rgb="FFC00000"/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7"/>
  <sheetViews>
    <sheetView workbookViewId="0">
      <pane ySplit="1" topLeftCell="A2" activePane="bottomLeft" state="frozen"/>
      <selection pane="bottomLeft"/>
    </sheetView>
  </sheetViews>
  <sheetFormatPr defaultRowHeight="14.4" x14ac:dyDescent="0.55000000000000004"/>
  <cols>
    <col min="1" max="1" width="7" customWidth="1"/>
    <col min="2" max="2" width="40" customWidth="1"/>
    <col min="3" max="3" width="10" customWidth="1"/>
    <col min="4" max="4" width="6" customWidth="1"/>
    <col min="5" max="6" width="8" customWidth="1"/>
    <col min="7" max="7" width="7" customWidth="1"/>
    <col min="8" max="8" width="22" customWidth="1"/>
    <col min="9" max="9" width="20" customWidth="1"/>
    <col min="10" max="10" width="45" customWidth="1"/>
    <col min="11" max="11" width="25" customWidth="1"/>
    <col min="12" max="12" width="18" customWidth="1"/>
    <col min="13" max="13" width="25" customWidth="1"/>
    <col min="14" max="14" width="18" customWidth="1"/>
    <col min="15" max="15" width="30" customWidth="1"/>
    <col min="16" max="16" width="18" customWidth="1"/>
    <col min="17" max="17" width="12" customWidth="1"/>
    <col min="18" max="18" width="11" customWidth="1"/>
  </cols>
  <sheetData>
    <row r="1" spans="1:18" ht="20.05" customHeight="1" x14ac:dyDescent="0.55000000000000004">
      <c r="A1" s="1" t="s">
        <v>140</v>
      </c>
      <c r="B1" s="1" t="s">
        <v>141</v>
      </c>
      <c r="C1" s="1" t="s">
        <v>142</v>
      </c>
      <c r="D1" s="1" t="s">
        <v>143</v>
      </c>
      <c r="E1" s="1" t="s">
        <v>144</v>
      </c>
      <c r="F1" s="1" t="s">
        <v>145</v>
      </c>
      <c r="G1" s="1" t="s">
        <v>146</v>
      </c>
      <c r="H1" s="1" t="s">
        <v>147</v>
      </c>
      <c r="I1" s="1" t="s">
        <v>148</v>
      </c>
      <c r="J1" s="1" t="s">
        <v>149</v>
      </c>
      <c r="K1" s="1" t="s">
        <v>150</v>
      </c>
      <c r="L1" s="1" t="s">
        <v>151</v>
      </c>
      <c r="M1" s="1" t="s">
        <v>152</v>
      </c>
      <c r="N1" s="1" t="s">
        <v>153</v>
      </c>
      <c r="O1" s="1" t="s">
        <v>154</v>
      </c>
      <c r="P1" s="1" t="s">
        <v>155</v>
      </c>
      <c r="Q1" s="1" t="s">
        <v>156</v>
      </c>
      <c r="R1" s="1" t="s">
        <v>157</v>
      </c>
    </row>
    <row r="2" spans="1:18" x14ac:dyDescent="0.55000000000000004">
      <c r="A2" s="2">
        <v>1</v>
      </c>
      <c r="B2" s="3" t="s">
        <v>158</v>
      </c>
      <c r="C2" s="2" t="s">
        <v>159</v>
      </c>
      <c r="D2" s="2" t="s">
        <v>160</v>
      </c>
      <c r="E2" s="2">
        <v>73</v>
      </c>
      <c r="F2" s="2">
        <v>1.66</v>
      </c>
      <c r="G2" s="2">
        <v>74</v>
      </c>
      <c r="H2" s="3" t="s">
        <v>161</v>
      </c>
      <c r="I2" s="3" t="s">
        <v>162</v>
      </c>
      <c r="J2" s="3" t="s">
        <v>163</v>
      </c>
      <c r="K2" s="3" t="s">
        <v>164</v>
      </c>
      <c r="L2" s="3" t="s">
        <v>165</v>
      </c>
      <c r="M2" s="3" t="s">
        <v>166</v>
      </c>
      <c r="N2" s="3" t="s">
        <v>167</v>
      </c>
      <c r="O2" s="3" t="s">
        <v>168</v>
      </c>
      <c r="P2" s="3" t="s">
        <v>169</v>
      </c>
      <c r="Q2" s="14" t="s">
        <v>170</v>
      </c>
      <c r="R2" s="5"/>
    </row>
    <row r="3" spans="1:18" x14ac:dyDescent="0.55000000000000004">
      <c r="A3" s="2">
        <v>2</v>
      </c>
      <c r="B3" s="3" t="s">
        <v>171</v>
      </c>
      <c r="C3" s="2" t="s">
        <v>160</v>
      </c>
      <c r="D3" s="2" t="s">
        <v>160</v>
      </c>
      <c r="E3" s="2">
        <v>75</v>
      </c>
      <c r="F3" s="2">
        <v>1.65</v>
      </c>
      <c r="G3" s="2">
        <v>39</v>
      </c>
      <c r="H3" s="3" t="s">
        <v>172</v>
      </c>
      <c r="I3" s="3" t="s">
        <v>173</v>
      </c>
      <c r="J3" s="3" t="s">
        <v>174</v>
      </c>
      <c r="K3" s="3" t="s">
        <v>175</v>
      </c>
      <c r="L3" s="3" t="s">
        <v>176</v>
      </c>
      <c r="M3" s="3" t="s">
        <v>177</v>
      </c>
      <c r="N3" s="3" t="s">
        <v>178</v>
      </c>
      <c r="O3" s="3" t="s">
        <v>174</v>
      </c>
      <c r="P3" s="3" t="s">
        <v>179</v>
      </c>
      <c r="Q3" s="99" t="s">
        <v>180</v>
      </c>
      <c r="R3" s="5"/>
    </row>
    <row r="4" spans="1:18" x14ac:dyDescent="0.55000000000000004">
      <c r="A4" s="2">
        <v>3</v>
      </c>
      <c r="B4" s="3" t="s">
        <v>181</v>
      </c>
      <c r="C4" s="2" t="s">
        <v>159</v>
      </c>
      <c r="D4" s="2" t="s">
        <v>160</v>
      </c>
      <c r="E4" s="2">
        <v>82</v>
      </c>
      <c r="F4" s="2">
        <v>1.75</v>
      </c>
      <c r="G4" s="2">
        <v>62</v>
      </c>
      <c r="H4" s="3" t="s">
        <v>182</v>
      </c>
      <c r="I4" s="3" t="s">
        <v>183</v>
      </c>
      <c r="J4" s="3" t="s">
        <v>184</v>
      </c>
      <c r="K4" s="3" t="s">
        <v>185</v>
      </c>
      <c r="L4" s="3" t="s">
        <v>186</v>
      </c>
      <c r="M4" s="3" t="s">
        <v>187</v>
      </c>
      <c r="N4" s="3" t="s">
        <v>188</v>
      </c>
      <c r="O4" s="3" t="s">
        <v>189</v>
      </c>
      <c r="P4" s="3" t="s">
        <v>190</v>
      </c>
      <c r="Q4" s="13" t="s">
        <v>191</v>
      </c>
      <c r="R4" s="5">
        <v>100</v>
      </c>
    </row>
    <row r="5" spans="1:18" x14ac:dyDescent="0.55000000000000004">
      <c r="A5" s="2">
        <v>4</v>
      </c>
      <c r="B5" s="3" t="s">
        <v>192</v>
      </c>
      <c r="C5" s="2" t="s">
        <v>159</v>
      </c>
      <c r="D5" s="2" t="s">
        <v>193</v>
      </c>
      <c r="E5" s="2">
        <v>69</v>
      </c>
      <c r="F5" s="2">
        <v>1.7</v>
      </c>
      <c r="G5" s="2">
        <v>45</v>
      </c>
      <c r="H5" s="3" t="s">
        <v>194</v>
      </c>
      <c r="I5" s="3" t="s">
        <v>183</v>
      </c>
      <c r="J5" s="3" t="s">
        <v>195</v>
      </c>
      <c r="K5" s="3" t="s">
        <v>196</v>
      </c>
      <c r="L5" s="3" t="s">
        <v>197</v>
      </c>
      <c r="M5" s="3" t="s">
        <v>198</v>
      </c>
      <c r="N5" s="3" t="s">
        <v>199</v>
      </c>
      <c r="O5" s="3" t="s">
        <v>200</v>
      </c>
      <c r="P5" s="3" t="s">
        <v>201</v>
      </c>
      <c r="Q5" s="16" t="s">
        <v>202</v>
      </c>
      <c r="R5" s="5"/>
    </row>
    <row r="6" spans="1:18" x14ac:dyDescent="0.55000000000000004">
      <c r="A6" s="2">
        <v>5</v>
      </c>
      <c r="B6" s="3" t="s">
        <v>203</v>
      </c>
      <c r="C6" s="2" t="s">
        <v>159</v>
      </c>
      <c r="D6" s="2" t="s">
        <v>160</v>
      </c>
      <c r="E6" s="2">
        <v>85</v>
      </c>
      <c r="F6" s="2">
        <v>1.72</v>
      </c>
      <c r="G6" s="2">
        <v>36</v>
      </c>
      <c r="H6" s="3" t="s">
        <v>204</v>
      </c>
      <c r="I6" s="3" t="s">
        <v>183</v>
      </c>
      <c r="J6" s="3" t="s">
        <v>205</v>
      </c>
      <c r="K6" s="3" t="s">
        <v>206</v>
      </c>
      <c r="L6" s="3" t="s">
        <v>207</v>
      </c>
      <c r="M6" s="3" t="s">
        <v>208</v>
      </c>
      <c r="N6" s="3" t="s">
        <v>209</v>
      </c>
      <c r="O6" s="3" t="s">
        <v>210</v>
      </c>
      <c r="P6" s="3" t="s">
        <v>211</v>
      </c>
      <c r="Q6" s="4" t="s">
        <v>212</v>
      </c>
      <c r="R6" s="5"/>
    </row>
    <row r="7" spans="1:18" x14ac:dyDescent="0.55000000000000004">
      <c r="A7" s="2">
        <v>6</v>
      </c>
      <c r="B7" s="3" t="s">
        <v>213</v>
      </c>
      <c r="C7" s="2" t="s">
        <v>214</v>
      </c>
      <c r="D7" s="2" t="s">
        <v>193</v>
      </c>
      <c r="E7" s="2">
        <v>60</v>
      </c>
      <c r="F7" s="2">
        <v>1.68</v>
      </c>
      <c r="G7" s="2">
        <v>26</v>
      </c>
      <c r="H7" s="3" t="s">
        <v>215</v>
      </c>
      <c r="I7" s="3" t="s">
        <v>183</v>
      </c>
      <c r="J7" s="3" t="s">
        <v>174</v>
      </c>
      <c r="K7" s="3" t="s">
        <v>216</v>
      </c>
      <c r="L7" s="3" t="s">
        <v>217</v>
      </c>
      <c r="M7" s="3" t="s">
        <v>218</v>
      </c>
      <c r="N7" s="3" t="s">
        <v>219</v>
      </c>
      <c r="O7" s="3" t="s">
        <v>174</v>
      </c>
      <c r="P7" s="3" t="s">
        <v>220</v>
      </c>
      <c r="Q7" s="9" t="s">
        <v>221</v>
      </c>
      <c r="R7" s="5"/>
    </row>
    <row r="8" spans="1:18" x14ac:dyDescent="0.55000000000000004">
      <c r="A8" s="2">
        <v>7</v>
      </c>
      <c r="B8" s="3" t="s">
        <v>222</v>
      </c>
      <c r="C8" s="2" t="s">
        <v>214</v>
      </c>
      <c r="D8" s="2" t="s">
        <v>193</v>
      </c>
      <c r="E8" s="2">
        <v>59</v>
      </c>
      <c r="F8" s="2">
        <v>1.55</v>
      </c>
      <c r="G8" s="2">
        <v>44</v>
      </c>
      <c r="H8" s="3" t="s">
        <v>223</v>
      </c>
      <c r="I8" s="3" t="s">
        <v>183</v>
      </c>
      <c r="J8" s="3" t="s">
        <v>174</v>
      </c>
      <c r="K8" s="3" t="s">
        <v>115</v>
      </c>
      <c r="L8" s="3" t="s">
        <v>224</v>
      </c>
      <c r="M8" s="3" t="s">
        <v>225</v>
      </c>
      <c r="N8" s="3" t="s">
        <v>226</v>
      </c>
      <c r="O8" s="3" t="s">
        <v>227</v>
      </c>
      <c r="P8" s="3" t="s">
        <v>228</v>
      </c>
      <c r="Q8" s="9" t="s">
        <v>221</v>
      </c>
      <c r="R8" s="5">
        <v>16</v>
      </c>
    </row>
    <row r="9" spans="1:18" x14ac:dyDescent="0.55000000000000004">
      <c r="A9" s="2">
        <v>8</v>
      </c>
      <c r="B9" s="3" t="s">
        <v>229</v>
      </c>
      <c r="C9" s="2" t="s">
        <v>159</v>
      </c>
      <c r="D9" s="2" t="s">
        <v>193</v>
      </c>
      <c r="E9" s="2">
        <v>70</v>
      </c>
      <c r="F9" s="2">
        <v>1.64</v>
      </c>
      <c r="G9" s="2">
        <v>53</v>
      </c>
      <c r="H9" s="3" t="s">
        <v>230</v>
      </c>
      <c r="I9" s="3" t="s">
        <v>231</v>
      </c>
      <c r="J9" s="3" t="s">
        <v>232</v>
      </c>
      <c r="K9" s="3" t="s">
        <v>233</v>
      </c>
      <c r="L9" s="3" t="s">
        <v>234</v>
      </c>
      <c r="M9" s="3" t="s">
        <v>235</v>
      </c>
      <c r="N9" s="3" t="s">
        <v>236</v>
      </c>
      <c r="O9" s="3" t="s">
        <v>174</v>
      </c>
      <c r="P9" s="3" t="s">
        <v>237</v>
      </c>
      <c r="Q9" s="4" t="s">
        <v>212</v>
      </c>
      <c r="R9" s="5">
        <v>40</v>
      </c>
    </row>
    <row r="10" spans="1:18" x14ac:dyDescent="0.55000000000000004">
      <c r="A10" s="2">
        <v>9</v>
      </c>
      <c r="B10" s="3" t="s">
        <v>238</v>
      </c>
      <c r="C10" s="2" t="s">
        <v>160</v>
      </c>
      <c r="D10" s="2" t="s">
        <v>193</v>
      </c>
      <c r="E10" s="2">
        <v>59</v>
      </c>
      <c r="F10" s="2">
        <v>1.63</v>
      </c>
      <c r="G10" s="2">
        <v>27</v>
      </c>
      <c r="H10" s="3" t="s">
        <v>239</v>
      </c>
      <c r="I10" s="3" t="s">
        <v>183</v>
      </c>
      <c r="J10" s="3" t="s">
        <v>240</v>
      </c>
      <c r="K10" s="3" t="s">
        <v>241</v>
      </c>
      <c r="L10" s="3" t="s">
        <v>242</v>
      </c>
      <c r="M10" s="3" t="s">
        <v>243</v>
      </c>
      <c r="N10" s="3" t="s">
        <v>244</v>
      </c>
      <c r="O10" s="3" t="s">
        <v>174</v>
      </c>
      <c r="P10" s="3" t="s">
        <v>245</v>
      </c>
      <c r="Q10" s="100" t="s">
        <v>246</v>
      </c>
      <c r="R10" s="5"/>
    </row>
    <row r="11" spans="1:18" x14ac:dyDescent="0.55000000000000004">
      <c r="A11" s="2">
        <v>10</v>
      </c>
      <c r="B11" s="3" t="s">
        <v>247</v>
      </c>
      <c r="C11" s="2" t="s">
        <v>214</v>
      </c>
      <c r="D11" s="2" t="s">
        <v>193</v>
      </c>
      <c r="E11" s="2">
        <v>50</v>
      </c>
      <c r="F11" s="2">
        <v>1.5</v>
      </c>
      <c r="G11" s="2">
        <v>22</v>
      </c>
      <c r="H11" s="3" t="s">
        <v>248</v>
      </c>
      <c r="I11" s="3" t="s">
        <v>183</v>
      </c>
      <c r="J11" s="3" t="s">
        <v>249</v>
      </c>
      <c r="K11" s="3" t="s">
        <v>250</v>
      </c>
      <c r="L11" s="3" t="s">
        <v>251</v>
      </c>
      <c r="M11" s="3" t="s">
        <v>252</v>
      </c>
      <c r="N11" s="3" t="s">
        <v>253</v>
      </c>
      <c r="O11" s="3" t="s">
        <v>174</v>
      </c>
      <c r="P11" s="3" t="s">
        <v>254</v>
      </c>
      <c r="Q11" s="4" t="s">
        <v>212</v>
      </c>
      <c r="R11" s="5"/>
    </row>
    <row r="12" spans="1:18" x14ac:dyDescent="0.55000000000000004">
      <c r="A12" s="2">
        <v>11</v>
      </c>
      <c r="B12" s="3" t="s">
        <v>255</v>
      </c>
      <c r="C12" s="2" t="s">
        <v>159</v>
      </c>
      <c r="D12" s="2" t="s">
        <v>160</v>
      </c>
      <c r="E12" s="2">
        <v>86</v>
      </c>
      <c r="F12" s="2">
        <v>1.78</v>
      </c>
      <c r="G12" s="2">
        <v>52</v>
      </c>
      <c r="H12" s="3" t="s">
        <v>256</v>
      </c>
      <c r="I12" s="3" t="s">
        <v>183</v>
      </c>
      <c r="J12" s="3" t="s">
        <v>174</v>
      </c>
      <c r="K12" s="3" t="s">
        <v>257</v>
      </c>
      <c r="L12" s="3" t="s">
        <v>258</v>
      </c>
      <c r="M12" s="3" t="s">
        <v>259</v>
      </c>
      <c r="N12" s="3" t="s">
        <v>260</v>
      </c>
      <c r="O12" s="3" t="s">
        <v>174</v>
      </c>
      <c r="P12" s="3" t="s">
        <v>261</v>
      </c>
      <c r="Q12" s="4" t="s">
        <v>212</v>
      </c>
      <c r="R12" s="5"/>
    </row>
    <row r="13" spans="1:18" x14ac:dyDescent="0.55000000000000004">
      <c r="A13" s="2">
        <v>12</v>
      </c>
      <c r="B13" s="3" t="s">
        <v>262</v>
      </c>
      <c r="C13" s="2" t="s">
        <v>160</v>
      </c>
      <c r="D13" s="2" t="s">
        <v>193</v>
      </c>
      <c r="E13" s="2">
        <v>72</v>
      </c>
      <c r="F13" s="2">
        <v>1.65</v>
      </c>
      <c r="G13" s="2">
        <v>30</v>
      </c>
      <c r="H13" s="3" t="s">
        <v>263</v>
      </c>
      <c r="I13" s="3" t="s">
        <v>264</v>
      </c>
      <c r="J13" s="3" t="s">
        <v>265</v>
      </c>
      <c r="K13" s="3" t="s">
        <v>266</v>
      </c>
      <c r="L13" s="3" t="s">
        <v>267</v>
      </c>
      <c r="M13" s="3" t="s">
        <v>268</v>
      </c>
      <c r="N13" s="3" t="s">
        <v>269</v>
      </c>
      <c r="O13" s="3" t="s">
        <v>270</v>
      </c>
      <c r="P13" s="3" t="s">
        <v>271</v>
      </c>
      <c r="Q13" s="100" t="s">
        <v>246</v>
      </c>
      <c r="R13" s="5">
        <v>92</v>
      </c>
    </row>
    <row r="14" spans="1:18" x14ac:dyDescent="0.55000000000000004">
      <c r="A14" s="2">
        <v>13</v>
      </c>
      <c r="B14" s="3" t="s">
        <v>272</v>
      </c>
      <c r="C14" s="2" t="s">
        <v>159</v>
      </c>
      <c r="D14" s="2" t="s">
        <v>160</v>
      </c>
      <c r="E14" s="2">
        <v>84</v>
      </c>
      <c r="F14" s="2">
        <v>1.8</v>
      </c>
      <c r="G14" s="2">
        <v>60</v>
      </c>
      <c r="H14" s="3" t="s">
        <v>273</v>
      </c>
      <c r="I14" s="3" t="s">
        <v>274</v>
      </c>
      <c r="J14" s="3" t="s">
        <v>275</v>
      </c>
      <c r="K14" s="3" t="s">
        <v>276</v>
      </c>
      <c r="L14" s="3" t="s">
        <v>277</v>
      </c>
      <c r="M14" s="3" t="s">
        <v>278</v>
      </c>
      <c r="N14" s="3" t="s">
        <v>279</v>
      </c>
      <c r="O14" s="3" t="s">
        <v>210</v>
      </c>
      <c r="P14" s="3" t="s">
        <v>280</v>
      </c>
      <c r="Q14" s="100" t="s">
        <v>246</v>
      </c>
      <c r="R14" s="5"/>
    </row>
    <row r="15" spans="1:18" x14ac:dyDescent="0.55000000000000004">
      <c r="A15" s="2">
        <v>14</v>
      </c>
      <c r="B15" s="3" t="s">
        <v>281</v>
      </c>
      <c r="C15" s="2" t="s">
        <v>214</v>
      </c>
      <c r="D15" s="2" t="s">
        <v>193</v>
      </c>
      <c r="E15" s="2">
        <v>60</v>
      </c>
      <c r="F15" s="2">
        <v>1.64</v>
      </c>
      <c r="G15" s="2">
        <v>26</v>
      </c>
      <c r="H15" s="3" t="s">
        <v>282</v>
      </c>
      <c r="I15" s="3" t="s">
        <v>183</v>
      </c>
      <c r="J15" s="3" t="s">
        <v>283</v>
      </c>
      <c r="K15" s="3" t="s">
        <v>284</v>
      </c>
      <c r="L15" s="3" t="s">
        <v>285</v>
      </c>
      <c r="M15" s="3" t="s">
        <v>286</v>
      </c>
      <c r="N15" s="3" t="s">
        <v>287</v>
      </c>
      <c r="O15" s="3" t="s">
        <v>174</v>
      </c>
      <c r="P15" s="3" t="s">
        <v>288</v>
      </c>
      <c r="Q15" s="9" t="s">
        <v>221</v>
      </c>
      <c r="R15" s="5"/>
    </row>
    <row r="16" spans="1:18" x14ac:dyDescent="0.55000000000000004">
      <c r="A16" s="2">
        <v>15</v>
      </c>
      <c r="B16" s="3" t="s">
        <v>289</v>
      </c>
      <c r="C16" s="2" t="s">
        <v>159</v>
      </c>
      <c r="D16" s="2" t="s">
        <v>193</v>
      </c>
      <c r="E16" s="2">
        <v>80</v>
      </c>
      <c r="F16" s="2">
        <v>1.75</v>
      </c>
      <c r="G16" s="2">
        <v>33</v>
      </c>
      <c r="H16" s="3" t="s">
        <v>290</v>
      </c>
      <c r="I16" s="3" t="s">
        <v>291</v>
      </c>
      <c r="J16" s="3" t="s">
        <v>292</v>
      </c>
      <c r="K16" s="3" t="s">
        <v>293</v>
      </c>
      <c r="L16" s="3" t="s">
        <v>294</v>
      </c>
      <c r="M16" s="3" t="s">
        <v>295</v>
      </c>
      <c r="N16" s="3" t="s">
        <v>296</v>
      </c>
      <c r="O16" s="3" t="s">
        <v>174</v>
      </c>
      <c r="P16" s="3" t="s">
        <v>297</v>
      </c>
      <c r="Q16" s="4" t="s">
        <v>212</v>
      </c>
      <c r="R16" s="5"/>
    </row>
    <row r="17" spans="1:18" x14ac:dyDescent="0.55000000000000004">
      <c r="A17" s="2">
        <v>16</v>
      </c>
      <c r="B17" s="3" t="s">
        <v>298</v>
      </c>
      <c r="C17" s="2" t="s">
        <v>159</v>
      </c>
      <c r="D17" s="2" t="s">
        <v>160</v>
      </c>
      <c r="E17" s="2">
        <v>85</v>
      </c>
      <c r="F17" s="2">
        <v>1.86</v>
      </c>
      <c r="G17" s="2">
        <v>43</v>
      </c>
      <c r="H17" s="3" t="s">
        <v>299</v>
      </c>
      <c r="I17" s="3" t="s">
        <v>183</v>
      </c>
      <c r="J17" s="3" t="s">
        <v>174</v>
      </c>
      <c r="K17" s="3" t="s">
        <v>300</v>
      </c>
      <c r="L17" s="3" t="s">
        <v>301</v>
      </c>
      <c r="M17" s="3" t="s">
        <v>302</v>
      </c>
      <c r="N17" s="3" t="s">
        <v>303</v>
      </c>
      <c r="O17" s="3" t="s">
        <v>174</v>
      </c>
      <c r="P17" s="3" t="s">
        <v>304</v>
      </c>
      <c r="Q17" s="14" t="s">
        <v>170</v>
      </c>
      <c r="R17" s="5">
        <v>7</v>
      </c>
    </row>
    <row r="18" spans="1:18" x14ac:dyDescent="0.55000000000000004">
      <c r="A18" s="2">
        <v>17</v>
      </c>
      <c r="B18" s="3" t="s">
        <v>305</v>
      </c>
      <c r="C18" s="2" t="s">
        <v>160</v>
      </c>
      <c r="D18" s="2" t="s">
        <v>160</v>
      </c>
      <c r="E18" s="2">
        <v>64</v>
      </c>
      <c r="F18" s="2">
        <v>1.84</v>
      </c>
      <c r="G18" s="2">
        <v>22</v>
      </c>
      <c r="H18" s="3" t="s">
        <v>306</v>
      </c>
      <c r="I18" s="3" t="s">
        <v>307</v>
      </c>
      <c r="J18" s="3" t="s">
        <v>174</v>
      </c>
      <c r="K18" s="3" t="s">
        <v>308</v>
      </c>
      <c r="L18" s="3" t="s">
        <v>309</v>
      </c>
      <c r="M18" s="3" t="s">
        <v>310</v>
      </c>
      <c r="N18" s="3" t="s">
        <v>311</v>
      </c>
      <c r="O18" s="3" t="s">
        <v>174</v>
      </c>
      <c r="P18" s="3" t="s">
        <v>312</v>
      </c>
      <c r="Q18" s="4" t="s">
        <v>212</v>
      </c>
      <c r="R18" s="5"/>
    </row>
    <row r="19" spans="1:18" x14ac:dyDescent="0.55000000000000004">
      <c r="A19" s="2">
        <v>18</v>
      </c>
      <c r="B19" s="3" t="s">
        <v>313</v>
      </c>
      <c r="C19" s="2" t="s">
        <v>214</v>
      </c>
      <c r="D19" s="2" t="s">
        <v>193</v>
      </c>
      <c r="E19" s="2">
        <v>60</v>
      </c>
      <c r="F19" s="2">
        <v>1.65</v>
      </c>
      <c r="G19" s="2">
        <v>46</v>
      </c>
      <c r="H19" s="3" t="s">
        <v>314</v>
      </c>
      <c r="I19" s="3" t="s">
        <v>183</v>
      </c>
      <c r="J19" s="3" t="s">
        <v>174</v>
      </c>
      <c r="K19" s="3" t="s">
        <v>315</v>
      </c>
      <c r="L19" s="3" t="s">
        <v>316</v>
      </c>
      <c r="M19" s="3" t="s">
        <v>317</v>
      </c>
      <c r="N19" s="3" t="s">
        <v>318</v>
      </c>
      <c r="O19" s="3" t="s">
        <v>174</v>
      </c>
      <c r="P19" s="3" t="s">
        <v>319</v>
      </c>
      <c r="Q19" s="15" t="s">
        <v>320</v>
      </c>
      <c r="R19" s="5"/>
    </row>
    <row r="20" spans="1:18" x14ac:dyDescent="0.55000000000000004">
      <c r="A20" s="2">
        <v>19</v>
      </c>
      <c r="B20" s="3" t="s">
        <v>321</v>
      </c>
      <c r="C20" s="2" t="s">
        <v>322</v>
      </c>
      <c r="D20" s="2" t="s">
        <v>160</v>
      </c>
      <c r="E20" s="2">
        <v>89</v>
      </c>
      <c r="F20" s="2">
        <v>1.78</v>
      </c>
      <c r="G20" s="2">
        <v>49</v>
      </c>
      <c r="H20" s="3" t="s">
        <v>323</v>
      </c>
      <c r="I20" s="3" t="s">
        <v>183</v>
      </c>
      <c r="J20" s="3" t="s">
        <v>324</v>
      </c>
      <c r="K20" s="3" t="s">
        <v>325</v>
      </c>
      <c r="L20" s="3" t="s">
        <v>326</v>
      </c>
      <c r="M20" s="3" t="s">
        <v>327</v>
      </c>
      <c r="N20" s="3" t="s">
        <v>328</v>
      </c>
      <c r="O20" s="3" t="s">
        <v>210</v>
      </c>
      <c r="P20" s="3" t="s">
        <v>329</v>
      </c>
      <c r="Q20" s="16" t="s">
        <v>202</v>
      </c>
      <c r="R20" s="5">
        <v>71</v>
      </c>
    </row>
    <row r="21" spans="1:18" x14ac:dyDescent="0.55000000000000004">
      <c r="A21" s="2">
        <v>20</v>
      </c>
      <c r="B21" s="3" t="s">
        <v>330</v>
      </c>
      <c r="C21" s="2" t="s">
        <v>160</v>
      </c>
      <c r="D21" s="2" t="s">
        <v>160</v>
      </c>
      <c r="E21" s="2">
        <v>70</v>
      </c>
      <c r="F21" s="2">
        <v>1.6</v>
      </c>
      <c r="G21" s="2">
        <v>71</v>
      </c>
      <c r="H21" s="3" t="s">
        <v>331</v>
      </c>
      <c r="I21" s="3" t="s">
        <v>183</v>
      </c>
      <c r="J21" s="3" t="s">
        <v>174</v>
      </c>
      <c r="K21" s="3" t="s">
        <v>332</v>
      </c>
      <c r="L21" s="3" t="s">
        <v>333</v>
      </c>
      <c r="M21" s="3" t="s">
        <v>334</v>
      </c>
      <c r="N21" s="3" t="s">
        <v>335</v>
      </c>
      <c r="O21" s="3" t="s">
        <v>174</v>
      </c>
      <c r="P21" s="3" t="s">
        <v>336</v>
      </c>
      <c r="Q21" s="14" t="s">
        <v>170</v>
      </c>
      <c r="R21" s="5"/>
    </row>
    <row r="22" spans="1:18" x14ac:dyDescent="0.55000000000000004">
      <c r="A22" s="2">
        <v>21</v>
      </c>
      <c r="B22" s="3" t="s">
        <v>337</v>
      </c>
      <c r="C22" s="2" t="s">
        <v>322</v>
      </c>
      <c r="D22" s="2" t="s">
        <v>160</v>
      </c>
      <c r="E22" s="2">
        <v>100</v>
      </c>
      <c r="F22" s="2">
        <v>1.79</v>
      </c>
      <c r="G22" s="2">
        <v>32</v>
      </c>
      <c r="H22" s="3" t="s">
        <v>338</v>
      </c>
      <c r="I22" s="3" t="s">
        <v>339</v>
      </c>
      <c r="J22" s="3" t="s">
        <v>174</v>
      </c>
      <c r="K22" s="3" t="s">
        <v>340</v>
      </c>
      <c r="L22" s="3" t="s">
        <v>341</v>
      </c>
      <c r="M22" s="3" t="s">
        <v>342</v>
      </c>
      <c r="N22" s="3" t="s">
        <v>343</v>
      </c>
      <c r="O22" s="3" t="s">
        <v>174</v>
      </c>
      <c r="P22" s="3" t="s">
        <v>344</v>
      </c>
      <c r="Q22" s="13" t="s">
        <v>191</v>
      </c>
      <c r="R22" s="5">
        <v>105</v>
      </c>
    </row>
    <row r="23" spans="1:18" x14ac:dyDescent="0.55000000000000004">
      <c r="A23" s="2">
        <v>22</v>
      </c>
      <c r="B23" s="3" t="s">
        <v>345</v>
      </c>
      <c r="C23" s="2" t="s">
        <v>322</v>
      </c>
      <c r="D23" s="2" t="s">
        <v>160</v>
      </c>
      <c r="E23" s="2">
        <v>89</v>
      </c>
      <c r="F23" s="2">
        <v>1.75</v>
      </c>
      <c r="G23" s="2">
        <v>36</v>
      </c>
      <c r="H23" s="3" t="s">
        <v>346</v>
      </c>
      <c r="I23" s="3" t="s">
        <v>347</v>
      </c>
      <c r="J23" s="3" t="s">
        <v>348</v>
      </c>
      <c r="K23" s="3" t="s">
        <v>348</v>
      </c>
      <c r="L23" s="3" t="s">
        <v>349</v>
      </c>
      <c r="M23" s="3" t="s">
        <v>350</v>
      </c>
      <c r="N23" s="3" t="s">
        <v>351</v>
      </c>
      <c r="O23" s="3" t="s">
        <v>174</v>
      </c>
      <c r="P23" s="3" t="s">
        <v>352</v>
      </c>
      <c r="Q23" s="99" t="s">
        <v>180</v>
      </c>
      <c r="R23" s="5"/>
    </row>
    <row r="24" spans="1:18" x14ac:dyDescent="0.55000000000000004">
      <c r="A24" s="2">
        <v>23</v>
      </c>
      <c r="B24" s="3" t="s">
        <v>353</v>
      </c>
      <c r="C24" s="2" t="s">
        <v>159</v>
      </c>
      <c r="D24" s="2" t="s">
        <v>193</v>
      </c>
      <c r="E24" s="2">
        <v>70</v>
      </c>
      <c r="F24" s="2">
        <v>1.56</v>
      </c>
      <c r="G24" s="2">
        <v>72</v>
      </c>
      <c r="H24" s="3" t="s">
        <v>354</v>
      </c>
      <c r="I24" s="3" t="s">
        <v>355</v>
      </c>
      <c r="J24" s="3" t="s">
        <v>356</v>
      </c>
      <c r="K24" s="3" t="s">
        <v>357</v>
      </c>
      <c r="L24" s="3" t="s">
        <v>165</v>
      </c>
      <c r="M24" s="3" t="s">
        <v>358</v>
      </c>
      <c r="N24" s="3" t="s">
        <v>167</v>
      </c>
      <c r="O24" s="3" t="s">
        <v>359</v>
      </c>
      <c r="P24" s="3" t="s">
        <v>360</v>
      </c>
      <c r="Q24" s="10" t="s">
        <v>361</v>
      </c>
      <c r="R24" s="5"/>
    </row>
    <row r="25" spans="1:18" x14ac:dyDescent="0.55000000000000004">
      <c r="A25" s="2">
        <v>24</v>
      </c>
      <c r="B25" s="3" t="s">
        <v>362</v>
      </c>
      <c r="C25" s="2" t="s">
        <v>160</v>
      </c>
      <c r="D25" s="2" t="s">
        <v>193</v>
      </c>
      <c r="E25" s="2">
        <v>70</v>
      </c>
      <c r="F25" s="2">
        <v>1.67</v>
      </c>
      <c r="G25" s="2">
        <v>66</v>
      </c>
      <c r="H25" s="3" t="s">
        <v>363</v>
      </c>
      <c r="I25" s="3" t="s">
        <v>183</v>
      </c>
      <c r="J25" s="3" t="s">
        <v>174</v>
      </c>
      <c r="K25" s="3" t="s">
        <v>364</v>
      </c>
      <c r="L25" s="3" t="s">
        <v>365</v>
      </c>
      <c r="M25" s="3" t="s">
        <v>366</v>
      </c>
      <c r="N25" s="3" t="s">
        <v>367</v>
      </c>
      <c r="O25" s="3" t="s">
        <v>368</v>
      </c>
      <c r="P25" s="3" t="s">
        <v>369</v>
      </c>
      <c r="Q25" s="100" t="s">
        <v>246</v>
      </c>
      <c r="R25" s="5"/>
    </row>
    <row r="26" spans="1:18" x14ac:dyDescent="0.55000000000000004">
      <c r="A26" s="2">
        <v>25</v>
      </c>
      <c r="B26" s="3" t="s">
        <v>370</v>
      </c>
      <c r="C26" s="2" t="s">
        <v>322</v>
      </c>
      <c r="D26" s="2" t="s">
        <v>160</v>
      </c>
      <c r="E26" s="2">
        <v>86</v>
      </c>
      <c r="F26" s="2">
        <v>1.78</v>
      </c>
      <c r="G26" s="2">
        <v>49</v>
      </c>
      <c r="H26" s="3" t="s">
        <v>371</v>
      </c>
      <c r="I26" s="3" t="s">
        <v>291</v>
      </c>
      <c r="J26" s="3" t="s">
        <v>174</v>
      </c>
      <c r="K26" s="3" t="s">
        <v>372</v>
      </c>
      <c r="L26" s="3" t="s">
        <v>373</v>
      </c>
      <c r="M26" s="3" t="s">
        <v>374</v>
      </c>
      <c r="N26" s="3" t="s">
        <v>375</v>
      </c>
      <c r="O26" s="3" t="s">
        <v>174</v>
      </c>
      <c r="P26" s="3" t="s">
        <v>376</v>
      </c>
      <c r="Q26" s="15" t="s">
        <v>320</v>
      </c>
      <c r="R26" s="5"/>
    </row>
    <row r="27" spans="1:18" x14ac:dyDescent="0.55000000000000004">
      <c r="A27" s="2">
        <v>26</v>
      </c>
      <c r="B27" s="3" t="s">
        <v>377</v>
      </c>
      <c r="C27" s="2" t="s">
        <v>159</v>
      </c>
      <c r="D27" s="2" t="s">
        <v>160</v>
      </c>
      <c r="E27" s="2">
        <v>95</v>
      </c>
      <c r="F27" s="2">
        <v>1.75</v>
      </c>
      <c r="G27" s="2">
        <v>46</v>
      </c>
      <c r="H27" s="3" t="s">
        <v>378</v>
      </c>
      <c r="I27" s="3" t="s">
        <v>183</v>
      </c>
      <c r="J27" s="3" t="s">
        <v>379</v>
      </c>
      <c r="K27" s="3" t="s">
        <v>380</v>
      </c>
      <c r="L27" s="3" t="s">
        <v>381</v>
      </c>
      <c r="M27" s="3" t="s">
        <v>73</v>
      </c>
      <c r="N27" s="3" t="s">
        <v>382</v>
      </c>
      <c r="O27" s="3" t="s">
        <v>174</v>
      </c>
      <c r="P27" s="3" t="s">
        <v>383</v>
      </c>
      <c r="Q27" s="9" t="s">
        <v>221</v>
      </c>
      <c r="R27" s="5">
        <v>82</v>
      </c>
    </row>
    <row r="28" spans="1:18" x14ac:dyDescent="0.55000000000000004">
      <c r="A28" s="2">
        <v>27</v>
      </c>
      <c r="B28" s="3" t="s">
        <v>384</v>
      </c>
      <c r="C28" s="2" t="s">
        <v>159</v>
      </c>
      <c r="D28" s="2" t="s">
        <v>160</v>
      </c>
      <c r="E28" s="2">
        <v>78</v>
      </c>
      <c r="F28" s="2">
        <v>1.72</v>
      </c>
      <c r="G28" s="2">
        <v>66</v>
      </c>
      <c r="H28" s="3" t="s">
        <v>385</v>
      </c>
      <c r="I28" s="3" t="s">
        <v>183</v>
      </c>
      <c r="J28" s="3" t="s">
        <v>386</v>
      </c>
      <c r="K28" s="3" t="s">
        <v>387</v>
      </c>
      <c r="L28" s="3" t="s">
        <v>388</v>
      </c>
      <c r="M28" s="3" t="s">
        <v>389</v>
      </c>
      <c r="N28" s="3" t="s">
        <v>390</v>
      </c>
      <c r="O28" s="3" t="s">
        <v>174</v>
      </c>
      <c r="P28" s="3" t="s">
        <v>391</v>
      </c>
      <c r="Q28" s="16" t="s">
        <v>202</v>
      </c>
      <c r="R28" s="5"/>
    </row>
    <row r="29" spans="1:18" x14ac:dyDescent="0.55000000000000004">
      <c r="A29" s="2">
        <v>28</v>
      </c>
      <c r="B29" s="3" t="s">
        <v>392</v>
      </c>
      <c r="C29" s="2" t="s">
        <v>159</v>
      </c>
      <c r="D29" s="2" t="s">
        <v>160</v>
      </c>
      <c r="E29" s="2">
        <v>84</v>
      </c>
      <c r="F29" s="2">
        <v>1.77</v>
      </c>
      <c r="G29" s="2">
        <v>48</v>
      </c>
      <c r="H29" s="3" t="s">
        <v>393</v>
      </c>
      <c r="I29" s="3" t="s">
        <v>183</v>
      </c>
      <c r="J29" s="3" t="s">
        <v>210</v>
      </c>
      <c r="K29" s="3" t="s">
        <v>394</v>
      </c>
      <c r="L29" s="3" t="s">
        <v>395</v>
      </c>
      <c r="M29" s="3" t="s">
        <v>396</v>
      </c>
      <c r="N29" s="3" t="s">
        <v>397</v>
      </c>
      <c r="O29" s="3" t="s">
        <v>210</v>
      </c>
      <c r="P29" s="3" t="s">
        <v>398</v>
      </c>
      <c r="Q29" s="9" t="s">
        <v>221</v>
      </c>
      <c r="R29" s="5"/>
    </row>
    <row r="30" spans="1:18" x14ac:dyDescent="0.55000000000000004">
      <c r="A30" s="2">
        <v>29</v>
      </c>
      <c r="B30" s="3" t="s">
        <v>399</v>
      </c>
      <c r="C30" s="2" t="s">
        <v>400</v>
      </c>
      <c r="D30" s="2" t="s">
        <v>193</v>
      </c>
      <c r="E30" s="2">
        <v>120</v>
      </c>
      <c r="F30" s="2">
        <v>1.71</v>
      </c>
      <c r="G30" s="2">
        <v>44</v>
      </c>
      <c r="H30" s="3" t="s">
        <v>401</v>
      </c>
      <c r="I30" s="3" t="s">
        <v>183</v>
      </c>
      <c r="J30" s="3" t="s">
        <v>210</v>
      </c>
      <c r="K30" s="3" t="s">
        <v>402</v>
      </c>
      <c r="L30" s="3" t="s">
        <v>403</v>
      </c>
      <c r="M30" s="3" t="s">
        <v>404</v>
      </c>
      <c r="N30" s="3" t="s">
        <v>405</v>
      </c>
      <c r="O30" s="3" t="s">
        <v>406</v>
      </c>
      <c r="P30" s="3" t="s">
        <v>407</v>
      </c>
      <c r="Q30" s="4" t="s">
        <v>212</v>
      </c>
      <c r="R30" s="5"/>
    </row>
    <row r="31" spans="1:18" x14ac:dyDescent="0.55000000000000004">
      <c r="A31" s="2">
        <v>30</v>
      </c>
      <c r="B31" s="3" t="s">
        <v>408</v>
      </c>
      <c r="C31" s="2" t="s">
        <v>159</v>
      </c>
      <c r="D31" s="2" t="s">
        <v>160</v>
      </c>
      <c r="E31" s="2">
        <v>79</v>
      </c>
      <c r="F31" s="2">
        <v>1.76</v>
      </c>
      <c r="G31" s="2">
        <v>31</v>
      </c>
      <c r="H31" s="3" t="s">
        <v>409</v>
      </c>
      <c r="I31" s="3" t="s">
        <v>183</v>
      </c>
      <c r="J31" s="3" t="s">
        <v>270</v>
      </c>
      <c r="K31" s="3" t="s">
        <v>410</v>
      </c>
      <c r="L31" s="3" t="s">
        <v>411</v>
      </c>
      <c r="M31" s="3" t="s">
        <v>410</v>
      </c>
      <c r="N31" s="3" t="s">
        <v>411</v>
      </c>
      <c r="O31" s="3" t="s">
        <v>270</v>
      </c>
      <c r="P31" s="3" t="s">
        <v>412</v>
      </c>
      <c r="Q31" s="13" t="s">
        <v>191</v>
      </c>
      <c r="R31" s="5"/>
    </row>
    <row r="32" spans="1:18" x14ac:dyDescent="0.55000000000000004">
      <c r="A32" s="2">
        <v>31</v>
      </c>
      <c r="B32" s="3" t="s">
        <v>413</v>
      </c>
      <c r="C32" s="2" t="s">
        <v>160</v>
      </c>
      <c r="D32" s="2" t="s">
        <v>160</v>
      </c>
      <c r="E32" s="2">
        <v>78</v>
      </c>
      <c r="F32" s="2">
        <v>1.79</v>
      </c>
      <c r="G32" s="2">
        <v>43</v>
      </c>
      <c r="H32" s="3" t="s">
        <v>414</v>
      </c>
      <c r="I32" s="3" t="s">
        <v>415</v>
      </c>
      <c r="J32" s="3" t="s">
        <v>416</v>
      </c>
      <c r="K32" s="3" t="s">
        <v>417</v>
      </c>
      <c r="L32" s="3" t="s">
        <v>418</v>
      </c>
      <c r="M32" s="3" t="s">
        <v>419</v>
      </c>
      <c r="N32" s="3" t="s">
        <v>418</v>
      </c>
      <c r="O32" s="3" t="s">
        <v>210</v>
      </c>
      <c r="P32" s="3" t="s">
        <v>420</v>
      </c>
      <c r="Q32" s="10" t="s">
        <v>361</v>
      </c>
      <c r="R32" s="5"/>
    </row>
    <row r="33" spans="1:18" x14ac:dyDescent="0.55000000000000004">
      <c r="A33" s="2">
        <v>32</v>
      </c>
      <c r="B33" s="3" t="s">
        <v>421</v>
      </c>
      <c r="C33" s="2" t="s">
        <v>160</v>
      </c>
      <c r="D33" s="2" t="s">
        <v>193</v>
      </c>
      <c r="E33" s="2">
        <v>70</v>
      </c>
      <c r="F33" s="2">
        <v>1.65</v>
      </c>
      <c r="G33" s="2">
        <v>57</v>
      </c>
      <c r="H33" s="3" t="s">
        <v>422</v>
      </c>
      <c r="I33" s="3" t="s">
        <v>423</v>
      </c>
      <c r="J33" s="3" t="s">
        <v>424</v>
      </c>
      <c r="K33" s="3" t="s">
        <v>425</v>
      </c>
      <c r="L33" s="3" t="s">
        <v>426</v>
      </c>
      <c r="M33" s="3" t="s">
        <v>427</v>
      </c>
      <c r="N33" s="3" t="s">
        <v>428</v>
      </c>
      <c r="O33" s="3" t="s">
        <v>174</v>
      </c>
      <c r="P33" s="3" t="s">
        <v>429</v>
      </c>
      <c r="Q33" s="99" t="s">
        <v>180</v>
      </c>
      <c r="R33" s="5">
        <v>33</v>
      </c>
    </row>
    <row r="34" spans="1:18" x14ac:dyDescent="0.55000000000000004">
      <c r="A34" s="2">
        <v>33</v>
      </c>
      <c r="B34" s="3" t="s">
        <v>430</v>
      </c>
      <c r="C34" s="2" t="s">
        <v>159</v>
      </c>
      <c r="D34" s="2" t="s">
        <v>160</v>
      </c>
      <c r="E34" s="2">
        <v>95</v>
      </c>
      <c r="F34" s="2">
        <v>1.68</v>
      </c>
      <c r="G34" s="2">
        <v>63</v>
      </c>
      <c r="H34" s="3" t="s">
        <v>431</v>
      </c>
      <c r="I34" s="3" t="s">
        <v>432</v>
      </c>
      <c r="J34" s="3" t="s">
        <v>433</v>
      </c>
      <c r="K34" s="3" t="s">
        <v>434</v>
      </c>
      <c r="L34" s="3" t="s">
        <v>435</v>
      </c>
      <c r="M34" s="3" t="s">
        <v>436</v>
      </c>
      <c r="N34" s="3" t="s">
        <v>428</v>
      </c>
      <c r="O34" s="3" t="s">
        <v>210</v>
      </c>
      <c r="P34" s="3" t="s">
        <v>437</v>
      </c>
      <c r="Q34" s="14" t="s">
        <v>170</v>
      </c>
      <c r="R34" s="5">
        <v>32</v>
      </c>
    </row>
    <row r="35" spans="1:18" x14ac:dyDescent="0.55000000000000004">
      <c r="A35" s="2">
        <v>34</v>
      </c>
      <c r="B35" s="3" t="s">
        <v>438</v>
      </c>
      <c r="C35" s="2" t="s">
        <v>160</v>
      </c>
      <c r="D35" s="2" t="s">
        <v>160</v>
      </c>
      <c r="E35" s="2">
        <v>75</v>
      </c>
      <c r="F35" s="2">
        <v>1.72</v>
      </c>
      <c r="G35" s="2">
        <v>43</v>
      </c>
      <c r="H35" s="3" t="s">
        <v>439</v>
      </c>
      <c r="I35" s="3" t="s">
        <v>440</v>
      </c>
      <c r="J35" s="3" t="s">
        <v>441</v>
      </c>
      <c r="K35" s="3" t="s">
        <v>442</v>
      </c>
      <c r="L35" s="3" t="s">
        <v>443</v>
      </c>
      <c r="M35" s="3" t="s">
        <v>444</v>
      </c>
      <c r="N35" s="3" t="s">
        <v>445</v>
      </c>
      <c r="O35" s="3" t="s">
        <v>441</v>
      </c>
      <c r="P35" s="3" t="s">
        <v>446</v>
      </c>
      <c r="Q35" s="10" t="s">
        <v>361</v>
      </c>
      <c r="R35" s="5"/>
    </row>
    <row r="36" spans="1:18" x14ac:dyDescent="0.55000000000000004">
      <c r="A36" s="2">
        <v>35</v>
      </c>
      <c r="B36" s="3" t="s">
        <v>447</v>
      </c>
      <c r="C36" s="2" t="s">
        <v>322</v>
      </c>
      <c r="D36" s="2" t="s">
        <v>160</v>
      </c>
      <c r="E36" s="2">
        <v>87</v>
      </c>
      <c r="F36" s="2">
        <v>1.75</v>
      </c>
      <c r="G36" s="2">
        <v>39</v>
      </c>
      <c r="H36" s="3" t="s">
        <v>448</v>
      </c>
      <c r="I36" s="3" t="s">
        <v>449</v>
      </c>
      <c r="J36" s="3" t="s">
        <v>450</v>
      </c>
      <c r="K36" s="3" t="s">
        <v>451</v>
      </c>
      <c r="L36" s="3" t="s">
        <v>452</v>
      </c>
      <c r="M36" s="3" t="s">
        <v>453</v>
      </c>
      <c r="N36" s="3" t="s">
        <v>454</v>
      </c>
      <c r="O36" s="3" t="s">
        <v>455</v>
      </c>
      <c r="P36" s="3" t="s">
        <v>456</v>
      </c>
      <c r="Q36" s="4" t="s">
        <v>212</v>
      </c>
      <c r="R36" s="5"/>
    </row>
    <row r="37" spans="1:18" x14ac:dyDescent="0.55000000000000004">
      <c r="A37" s="2">
        <v>36</v>
      </c>
      <c r="B37" s="3" t="s">
        <v>457</v>
      </c>
      <c r="C37" s="2" t="s">
        <v>159</v>
      </c>
      <c r="D37" s="2" t="s">
        <v>160</v>
      </c>
      <c r="E37" s="2">
        <v>85</v>
      </c>
      <c r="F37" s="2"/>
      <c r="G37" s="2">
        <v>25</v>
      </c>
      <c r="H37" s="3" t="s">
        <v>458</v>
      </c>
      <c r="I37" s="3" t="s">
        <v>183</v>
      </c>
      <c r="J37" s="3" t="s">
        <v>459</v>
      </c>
      <c r="K37" s="3" t="s">
        <v>460</v>
      </c>
      <c r="L37" s="3" t="s">
        <v>461</v>
      </c>
      <c r="M37" s="3" t="s">
        <v>462</v>
      </c>
      <c r="N37" s="3" t="s">
        <v>463</v>
      </c>
      <c r="O37" s="3" t="s">
        <v>464</v>
      </c>
      <c r="P37" s="3" t="s">
        <v>465</v>
      </c>
      <c r="Q37" s="99" t="s">
        <v>180</v>
      </c>
      <c r="R37" s="5"/>
    </row>
    <row r="38" spans="1:18" x14ac:dyDescent="0.55000000000000004">
      <c r="A38" s="2">
        <v>37</v>
      </c>
      <c r="B38" s="3" t="s">
        <v>466</v>
      </c>
      <c r="C38" s="2" t="s">
        <v>160</v>
      </c>
      <c r="D38" s="2" t="s">
        <v>193</v>
      </c>
      <c r="E38" s="2">
        <v>66</v>
      </c>
      <c r="F38" s="2">
        <v>1.61</v>
      </c>
      <c r="G38" s="2">
        <v>60</v>
      </c>
      <c r="H38" s="3" t="s">
        <v>467</v>
      </c>
      <c r="I38" s="3" t="s">
        <v>468</v>
      </c>
      <c r="J38" s="3" t="s">
        <v>174</v>
      </c>
      <c r="K38" s="3" t="s">
        <v>469</v>
      </c>
      <c r="L38" s="3" t="s">
        <v>470</v>
      </c>
      <c r="M38" s="3" t="s">
        <v>471</v>
      </c>
      <c r="N38" s="3" t="s">
        <v>472</v>
      </c>
      <c r="O38" s="3" t="s">
        <v>174</v>
      </c>
      <c r="P38" s="3" t="s">
        <v>473</v>
      </c>
      <c r="Q38" s="99" t="s">
        <v>180</v>
      </c>
      <c r="R38" s="5"/>
    </row>
    <row r="39" spans="1:18" x14ac:dyDescent="0.55000000000000004">
      <c r="A39" s="2">
        <v>38</v>
      </c>
      <c r="B39" s="3" t="s">
        <v>474</v>
      </c>
      <c r="C39" s="2" t="s">
        <v>160</v>
      </c>
      <c r="D39" s="2" t="s">
        <v>193</v>
      </c>
      <c r="E39" s="2">
        <v>58</v>
      </c>
      <c r="F39" s="2">
        <v>1.55</v>
      </c>
      <c r="G39" s="2">
        <v>68</v>
      </c>
      <c r="H39" s="3" t="s">
        <v>475</v>
      </c>
      <c r="I39" s="3" t="s">
        <v>162</v>
      </c>
      <c r="J39" s="3" t="s">
        <v>476</v>
      </c>
      <c r="K39" s="3" t="s">
        <v>164</v>
      </c>
      <c r="L39" s="3" t="s">
        <v>165</v>
      </c>
      <c r="M39" s="3" t="s">
        <v>166</v>
      </c>
      <c r="N39" s="3" t="s">
        <v>167</v>
      </c>
      <c r="O39" s="3" t="s">
        <v>168</v>
      </c>
      <c r="P39" s="3" t="s">
        <v>477</v>
      </c>
      <c r="Q39" s="15" t="s">
        <v>320</v>
      </c>
      <c r="R39" s="5"/>
    </row>
    <row r="40" spans="1:18" x14ac:dyDescent="0.55000000000000004">
      <c r="A40" s="2">
        <v>39</v>
      </c>
      <c r="B40" s="3" t="s">
        <v>478</v>
      </c>
      <c r="C40" s="2" t="s">
        <v>159</v>
      </c>
      <c r="D40" s="2" t="s">
        <v>193</v>
      </c>
      <c r="E40" s="2">
        <v>78</v>
      </c>
      <c r="F40" s="2"/>
      <c r="G40" s="2">
        <v>49</v>
      </c>
      <c r="H40" s="3" t="s">
        <v>479</v>
      </c>
      <c r="I40" s="3" t="s">
        <v>480</v>
      </c>
      <c r="J40" s="3" t="s">
        <v>481</v>
      </c>
      <c r="K40" s="3" t="s">
        <v>482</v>
      </c>
      <c r="L40" s="3" t="s">
        <v>483</v>
      </c>
      <c r="M40" s="3" t="s">
        <v>484</v>
      </c>
      <c r="N40" s="3" t="s">
        <v>485</v>
      </c>
      <c r="O40" s="3" t="s">
        <v>174</v>
      </c>
      <c r="P40" s="3" t="s">
        <v>486</v>
      </c>
      <c r="Q40" s="4" t="s">
        <v>212</v>
      </c>
      <c r="R40" s="5"/>
    </row>
    <row r="41" spans="1:18" x14ac:dyDescent="0.55000000000000004">
      <c r="A41" s="2">
        <v>40</v>
      </c>
      <c r="B41" s="3" t="s">
        <v>487</v>
      </c>
      <c r="C41" s="2" t="s">
        <v>160</v>
      </c>
      <c r="D41" s="2" t="s">
        <v>160</v>
      </c>
      <c r="E41" s="2">
        <v>80</v>
      </c>
      <c r="F41" s="2">
        <v>1.69</v>
      </c>
      <c r="G41" s="2">
        <v>53</v>
      </c>
      <c r="H41" s="3" t="s">
        <v>488</v>
      </c>
      <c r="I41" s="3" t="s">
        <v>183</v>
      </c>
      <c r="J41" s="3" t="s">
        <v>489</v>
      </c>
      <c r="K41" s="3" t="s">
        <v>490</v>
      </c>
      <c r="L41" s="3" t="s">
        <v>491</v>
      </c>
      <c r="M41" s="3" t="s">
        <v>492</v>
      </c>
      <c r="N41" s="3" t="s">
        <v>493</v>
      </c>
      <c r="O41" s="3" t="s">
        <v>174</v>
      </c>
      <c r="P41" s="3" t="s">
        <v>494</v>
      </c>
      <c r="Q41" s="9" t="s">
        <v>221</v>
      </c>
      <c r="R41" s="5">
        <v>8</v>
      </c>
    </row>
    <row r="42" spans="1:18" x14ac:dyDescent="0.55000000000000004">
      <c r="A42" s="2">
        <v>41</v>
      </c>
      <c r="B42" s="3" t="s">
        <v>495</v>
      </c>
      <c r="C42" s="2" t="s">
        <v>214</v>
      </c>
      <c r="D42" s="2" t="s">
        <v>160</v>
      </c>
      <c r="E42" s="2">
        <v>62</v>
      </c>
      <c r="F42" s="2">
        <v>1.68</v>
      </c>
      <c r="G42" s="2">
        <v>28</v>
      </c>
      <c r="H42" s="3" t="s">
        <v>496</v>
      </c>
      <c r="I42" s="3" t="s">
        <v>183</v>
      </c>
      <c r="J42" s="3" t="s">
        <v>497</v>
      </c>
      <c r="K42" s="3" t="s">
        <v>498</v>
      </c>
      <c r="L42" s="3" t="s">
        <v>499</v>
      </c>
      <c r="M42" s="3" t="s">
        <v>500</v>
      </c>
      <c r="N42" s="3" t="s">
        <v>501</v>
      </c>
      <c r="O42" s="3" t="s">
        <v>174</v>
      </c>
      <c r="P42" s="3" t="s">
        <v>502</v>
      </c>
      <c r="Q42" s="14" t="s">
        <v>170</v>
      </c>
      <c r="R42" s="5"/>
    </row>
    <row r="43" spans="1:18" x14ac:dyDescent="0.55000000000000004">
      <c r="A43" s="2">
        <v>42</v>
      </c>
      <c r="B43" s="3" t="s">
        <v>503</v>
      </c>
      <c r="C43" s="2" t="s">
        <v>160</v>
      </c>
      <c r="D43" s="2" t="s">
        <v>193</v>
      </c>
      <c r="E43" s="2">
        <v>73</v>
      </c>
      <c r="F43" s="2">
        <v>1.65</v>
      </c>
      <c r="G43" s="2">
        <v>49</v>
      </c>
      <c r="H43" s="3" t="s">
        <v>504</v>
      </c>
      <c r="I43" s="3" t="s">
        <v>505</v>
      </c>
      <c r="J43" s="3" t="s">
        <v>506</v>
      </c>
      <c r="K43" s="3" t="s">
        <v>482</v>
      </c>
      <c r="L43" s="3" t="s">
        <v>483</v>
      </c>
      <c r="M43" s="3" t="s">
        <v>507</v>
      </c>
      <c r="N43" s="3" t="s">
        <v>508</v>
      </c>
      <c r="O43" s="3" t="s">
        <v>174</v>
      </c>
      <c r="P43" s="3" t="s">
        <v>509</v>
      </c>
      <c r="Q43" s="13" t="s">
        <v>191</v>
      </c>
      <c r="R43" s="5"/>
    </row>
    <row r="44" spans="1:18" x14ac:dyDescent="0.55000000000000004">
      <c r="A44" s="2">
        <v>43</v>
      </c>
      <c r="B44" s="3" t="s">
        <v>510</v>
      </c>
      <c r="C44" s="2" t="s">
        <v>160</v>
      </c>
      <c r="D44" s="2" t="s">
        <v>193</v>
      </c>
      <c r="E44" s="2">
        <v>73</v>
      </c>
      <c r="F44" s="2">
        <v>1.64</v>
      </c>
      <c r="G44" s="2">
        <v>45</v>
      </c>
      <c r="H44" s="3" t="s">
        <v>511</v>
      </c>
      <c r="I44" s="3" t="s">
        <v>183</v>
      </c>
      <c r="J44" s="3" t="s">
        <v>210</v>
      </c>
      <c r="K44" s="3" t="s">
        <v>512</v>
      </c>
      <c r="L44" s="3" t="s">
        <v>513</v>
      </c>
      <c r="M44" s="3" t="s">
        <v>514</v>
      </c>
      <c r="N44" s="3" t="s">
        <v>515</v>
      </c>
      <c r="O44" s="3" t="s">
        <v>210</v>
      </c>
      <c r="P44" s="3" t="s">
        <v>516</v>
      </c>
      <c r="Q44" s="100" t="s">
        <v>246</v>
      </c>
      <c r="R44" s="5"/>
    </row>
    <row r="45" spans="1:18" x14ac:dyDescent="0.55000000000000004">
      <c r="A45" s="2">
        <v>44</v>
      </c>
      <c r="B45" s="3" t="s">
        <v>517</v>
      </c>
      <c r="C45" s="2" t="s">
        <v>322</v>
      </c>
      <c r="D45" s="2" t="s">
        <v>160</v>
      </c>
      <c r="E45" s="2">
        <v>100</v>
      </c>
      <c r="F45" s="2">
        <v>1.85</v>
      </c>
      <c r="G45" s="2">
        <v>52</v>
      </c>
      <c r="H45" s="3" t="s">
        <v>518</v>
      </c>
      <c r="I45" s="3" t="s">
        <v>519</v>
      </c>
      <c r="J45" s="3" t="s">
        <v>520</v>
      </c>
      <c r="K45" s="3" t="s">
        <v>521</v>
      </c>
      <c r="L45" s="3" t="s">
        <v>522</v>
      </c>
      <c r="M45" s="3" t="s">
        <v>521</v>
      </c>
      <c r="N45" s="3" t="s">
        <v>522</v>
      </c>
      <c r="O45" s="3" t="s">
        <v>270</v>
      </c>
      <c r="P45" s="3" t="s">
        <v>523</v>
      </c>
      <c r="Q45" s="10" t="s">
        <v>361</v>
      </c>
      <c r="R45" s="5"/>
    </row>
    <row r="46" spans="1:18" x14ac:dyDescent="0.55000000000000004">
      <c r="A46" s="2">
        <v>45</v>
      </c>
      <c r="B46" s="3" t="s">
        <v>524</v>
      </c>
      <c r="C46" s="2" t="s">
        <v>160</v>
      </c>
      <c r="D46" s="2" t="s">
        <v>160</v>
      </c>
      <c r="E46" s="2">
        <v>74</v>
      </c>
      <c r="F46" s="2">
        <v>1.75</v>
      </c>
      <c r="G46" s="2">
        <v>36</v>
      </c>
      <c r="H46" s="3" t="s">
        <v>525</v>
      </c>
      <c r="I46" s="3" t="s">
        <v>526</v>
      </c>
      <c r="J46" s="3" t="s">
        <v>174</v>
      </c>
      <c r="K46" s="3" t="s">
        <v>527</v>
      </c>
      <c r="L46" s="3" t="s">
        <v>528</v>
      </c>
      <c r="M46" s="3" t="s">
        <v>529</v>
      </c>
      <c r="N46" s="3" t="s">
        <v>530</v>
      </c>
      <c r="O46" s="3" t="s">
        <v>174</v>
      </c>
      <c r="P46" s="3" t="s">
        <v>531</v>
      </c>
      <c r="Q46" s="10" t="s">
        <v>361</v>
      </c>
      <c r="R46" s="5"/>
    </row>
    <row r="47" spans="1:18" x14ac:dyDescent="0.55000000000000004">
      <c r="A47" s="2">
        <v>46</v>
      </c>
      <c r="B47" s="3" t="s">
        <v>532</v>
      </c>
      <c r="C47" s="2" t="s">
        <v>322</v>
      </c>
      <c r="D47" s="2" t="s">
        <v>160</v>
      </c>
      <c r="E47" s="2">
        <v>94</v>
      </c>
      <c r="F47" s="2">
        <v>1.67</v>
      </c>
      <c r="G47" s="2">
        <v>46</v>
      </c>
      <c r="H47" s="3" t="s">
        <v>533</v>
      </c>
      <c r="I47" s="3" t="s">
        <v>183</v>
      </c>
      <c r="J47" s="3" t="s">
        <v>210</v>
      </c>
      <c r="K47" s="3" t="s">
        <v>534</v>
      </c>
      <c r="L47" s="3" t="s">
        <v>535</v>
      </c>
      <c r="M47" s="3" t="s">
        <v>536</v>
      </c>
      <c r="N47" s="3" t="s">
        <v>537</v>
      </c>
      <c r="O47" s="3" t="s">
        <v>441</v>
      </c>
      <c r="P47" s="3" t="s">
        <v>538</v>
      </c>
      <c r="Q47" s="4" t="s">
        <v>212</v>
      </c>
      <c r="R47" s="5"/>
    </row>
    <row r="48" spans="1:18" x14ac:dyDescent="0.55000000000000004">
      <c r="A48" s="2">
        <v>47</v>
      </c>
      <c r="B48" s="3" t="s">
        <v>539</v>
      </c>
      <c r="C48" s="2" t="s">
        <v>160</v>
      </c>
      <c r="D48" s="2" t="s">
        <v>193</v>
      </c>
      <c r="E48" s="2">
        <v>72</v>
      </c>
      <c r="F48" s="2">
        <v>1.64</v>
      </c>
      <c r="G48" s="2">
        <v>48</v>
      </c>
      <c r="H48" s="3" t="s">
        <v>540</v>
      </c>
      <c r="I48" s="3" t="s">
        <v>541</v>
      </c>
      <c r="J48" s="3" t="s">
        <v>542</v>
      </c>
      <c r="K48" s="3" t="s">
        <v>543</v>
      </c>
      <c r="L48" s="3" t="s">
        <v>544</v>
      </c>
      <c r="M48" s="3" t="s">
        <v>545</v>
      </c>
      <c r="N48" s="3" t="s">
        <v>546</v>
      </c>
      <c r="O48" s="3" t="s">
        <v>174</v>
      </c>
      <c r="P48" s="3" t="s">
        <v>547</v>
      </c>
      <c r="Q48" s="9" t="s">
        <v>221</v>
      </c>
      <c r="R48" s="5"/>
    </row>
    <row r="49" spans="1:18" x14ac:dyDescent="0.55000000000000004">
      <c r="A49" s="2">
        <v>48</v>
      </c>
      <c r="B49" s="3" t="s">
        <v>548</v>
      </c>
      <c r="C49" s="2" t="s">
        <v>549</v>
      </c>
      <c r="D49" s="2" t="s">
        <v>160</v>
      </c>
      <c r="E49" s="2">
        <v>130</v>
      </c>
      <c r="F49" s="2">
        <v>1.8</v>
      </c>
      <c r="G49" s="2">
        <v>32</v>
      </c>
      <c r="H49" s="3" t="s">
        <v>550</v>
      </c>
      <c r="I49" s="3" t="s">
        <v>183</v>
      </c>
      <c r="J49" s="3" t="s">
        <v>174</v>
      </c>
      <c r="K49" s="3" t="s">
        <v>551</v>
      </c>
      <c r="L49" s="3" t="s">
        <v>552</v>
      </c>
      <c r="M49" s="3" t="s">
        <v>553</v>
      </c>
      <c r="N49" s="3" t="s">
        <v>554</v>
      </c>
      <c r="O49" s="3" t="s">
        <v>174</v>
      </c>
      <c r="P49" s="3" t="s">
        <v>555</v>
      </c>
      <c r="Q49" s="4" t="s">
        <v>212</v>
      </c>
      <c r="R49" s="5"/>
    </row>
    <row r="50" spans="1:18" x14ac:dyDescent="0.55000000000000004">
      <c r="A50" s="2">
        <v>49</v>
      </c>
      <c r="B50" s="3" t="s">
        <v>556</v>
      </c>
      <c r="C50" s="2" t="s">
        <v>159</v>
      </c>
      <c r="D50" s="2" t="s">
        <v>160</v>
      </c>
      <c r="E50" s="2">
        <v>87</v>
      </c>
      <c r="F50" s="2">
        <v>1.7</v>
      </c>
      <c r="G50" s="2">
        <v>25</v>
      </c>
      <c r="H50" s="3" t="s">
        <v>557</v>
      </c>
      <c r="I50" s="3" t="s">
        <v>558</v>
      </c>
      <c r="J50" s="3" t="s">
        <v>174</v>
      </c>
      <c r="K50" s="3" t="s">
        <v>559</v>
      </c>
      <c r="L50" s="3" t="s">
        <v>560</v>
      </c>
      <c r="M50" s="3" t="s">
        <v>559</v>
      </c>
      <c r="N50" s="3" t="s">
        <v>560</v>
      </c>
      <c r="O50" s="3" t="s">
        <v>174</v>
      </c>
      <c r="P50" s="3" t="s">
        <v>561</v>
      </c>
      <c r="Q50" s="13" t="s">
        <v>191</v>
      </c>
      <c r="R50" s="5"/>
    </row>
    <row r="51" spans="1:18" x14ac:dyDescent="0.55000000000000004">
      <c r="A51" s="2">
        <v>50</v>
      </c>
      <c r="B51" s="3" t="s">
        <v>562</v>
      </c>
      <c r="C51" s="2" t="s">
        <v>159</v>
      </c>
      <c r="D51" s="2" t="s">
        <v>193</v>
      </c>
      <c r="E51" s="2">
        <v>74</v>
      </c>
      <c r="F51" s="2">
        <v>1.6</v>
      </c>
      <c r="G51" s="2">
        <v>65</v>
      </c>
      <c r="H51" s="3" t="s">
        <v>563</v>
      </c>
      <c r="I51" s="3" t="s">
        <v>183</v>
      </c>
      <c r="J51" s="3" t="s">
        <v>270</v>
      </c>
      <c r="K51" s="3" t="s">
        <v>564</v>
      </c>
      <c r="L51" s="3" t="s">
        <v>565</v>
      </c>
      <c r="M51" s="3" t="s">
        <v>566</v>
      </c>
      <c r="N51" s="3" t="s">
        <v>567</v>
      </c>
      <c r="O51" s="3" t="s">
        <v>270</v>
      </c>
      <c r="P51" s="3" t="s">
        <v>568</v>
      </c>
      <c r="Q51" s="16" t="s">
        <v>202</v>
      </c>
      <c r="R51" s="5"/>
    </row>
    <row r="52" spans="1:18" x14ac:dyDescent="0.55000000000000004">
      <c r="A52" s="2">
        <v>51</v>
      </c>
      <c r="B52" s="3" t="s">
        <v>569</v>
      </c>
      <c r="C52" s="2" t="s">
        <v>160</v>
      </c>
      <c r="D52" s="2" t="s">
        <v>193</v>
      </c>
      <c r="E52" s="2">
        <v>68</v>
      </c>
      <c r="F52" s="2">
        <v>1.68</v>
      </c>
      <c r="G52" s="2">
        <v>50</v>
      </c>
      <c r="H52" s="3" t="s">
        <v>570</v>
      </c>
      <c r="I52" s="3" t="s">
        <v>183</v>
      </c>
      <c r="J52" s="3" t="s">
        <v>174</v>
      </c>
      <c r="K52" s="3" t="s">
        <v>571</v>
      </c>
      <c r="L52" s="3" t="s">
        <v>572</v>
      </c>
      <c r="M52" s="3" t="s">
        <v>573</v>
      </c>
      <c r="N52" s="3" t="s">
        <v>574</v>
      </c>
      <c r="O52" s="3" t="s">
        <v>575</v>
      </c>
      <c r="P52" s="3" t="s">
        <v>576</v>
      </c>
      <c r="Q52" s="14" t="s">
        <v>170</v>
      </c>
      <c r="R52" s="5"/>
    </row>
    <row r="53" spans="1:18" x14ac:dyDescent="0.55000000000000004">
      <c r="A53" s="2">
        <v>52</v>
      </c>
      <c r="B53" s="3" t="s">
        <v>577</v>
      </c>
      <c r="C53" s="2" t="s">
        <v>159</v>
      </c>
      <c r="D53" s="2" t="s">
        <v>160</v>
      </c>
      <c r="E53" s="2">
        <v>85</v>
      </c>
      <c r="F53" s="2">
        <v>1.77</v>
      </c>
      <c r="G53" s="2">
        <v>22</v>
      </c>
      <c r="H53" s="3" t="s">
        <v>578</v>
      </c>
      <c r="I53" s="3" t="s">
        <v>579</v>
      </c>
      <c r="J53" s="3" t="s">
        <v>174</v>
      </c>
      <c r="K53" s="3" t="s">
        <v>580</v>
      </c>
      <c r="L53" s="3" t="s">
        <v>581</v>
      </c>
      <c r="M53" s="3" t="s">
        <v>582</v>
      </c>
      <c r="N53" s="3" t="s">
        <v>583</v>
      </c>
      <c r="O53" s="3" t="s">
        <v>174</v>
      </c>
      <c r="P53" s="3" t="s">
        <v>584</v>
      </c>
      <c r="Q53" s="14" t="s">
        <v>170</v>
      </c>
      <c r="R53" s="5"/>
    </row>
    <row r="54" spans="1:18" x14ac:dyDescent="0.55000000000000004">
      <c r="A54" s="2">
        <v>53</v>
      </c>
      <c r="B54" s="3" t="s">
        <v>585</v>
      </c>
      <c r="C54" s="2" t="s">
        <v>160</v>
      </c>
      <c r="D54" s="2" t="s">
        <v>160</v>
      </c>
      <c r="E54" s="2">
        <v>86</v>
      </c>
      <c r="F54" s="2">
        <v>1.8</v>
      </c>
      <c r="G54" s="2">
        <v>30</v>
      </c>
      <c r="H54" s="3" t="s">
        <v>586</v>
      </c>
      <c r="I54" s="3" t="s">
        <v>183</v>
      </c>
      <c r="J54" s="3" t="s">
        <v>270</v>
      </c>
      <c r="K54" s="3" t="s">
        <v>587</v>
      </c>
      <c r="L54" s="3" t="s">
        <v>588</v>
      </c>
      <c r="M54" s="3" t="s">
        <v>589</v>
      </c>
      <c r="N54" s="3" t="s">
        <v>590</v>
      </c>
      <c r="O54" s="3" t="s">
        <v>174</v>
      </c>
      <c r="P54" s="3" t="s">
        <v>591</v>
      </c>
      <c r="Q54" s="9" t="s">
        <v>221</v>
      </c>
      <c r="R54" s="5"/>
    </row>
    <row r="55" spans="1:18" x14ac:dyDescent="0.55000000000000004">
      <c r="A55" s="2">
        <v>54</v>
      </c>
      <c r="B55" s="3" t="s">
        <v>592</v>
      </c>
      <c r="C55" s="2" t="s">
        <v>322</v>
      </c>
      <c r="D55" s="2" t="s">
        <v>160</v>
      </c>
      <c r="E55" s="2">
        <v>98</v>
      </c>
      <c r="F55" s="2">
        <v>1.74</v>
      </c>
      <c r="G55" s="2">
        <v>41</v>
      </c>
      <c r="H55" s="3" t="s">
        <v>593</v>
      </c>
      <c r="I55" s="3" t="s">
        <v>183</v>
      </c>
      <c r="J55" s="3" t="s">
        <v>174</v>
      </c>
      <c r="K55" s="3" t="s">
        <v>594</v>
      </c>
      <c r="L55" s="3" t="s">
        <v>595</v>
      </c>
      <c r="M55" s="3" t="s">
        <v>596</v>
      </c>
      <c r="N55" s="3" t="s">
        <v>597</v>
      </c>
      <c r="O55" s="3" t="s">
        <v>598</v>
      </c>
      <c r="P55" s="3" t="s">
        <v>599</v>
      </c>
      <c r="Q55" s="10" t="s">
        <v>361</v>
      </c>
      <c r="R55" s="5"/>
    </row>
    <row r="56" spans="1:18" x14ac:dyDescent="0.55000000000000004">
      <c r="A56" s="2">
        <v>55</v>
      </c>
      <c r="B56" s="3" t="s">
        <v>600</v>
      </c>
      <c r="C56" s="2" t="s">
        <v>160</v>
      </c>
      <c r="D56" s="2" t="s">
        <v>160</v>
      </c>
      <c r="E56" s="2">
        <v>86</v>
      </c>
      <c r="F56" s="2">
        <v>1.7</v>
      </c>
      <c r="G56" s="2">
        <v>34</v>
      </c>
      <c r="H56" s="3" t="s">
        <v>601</v>
      </c>
      <c r="I56" s="3" t="s">
        <v>183</v>
      </c>
      <c r="J56" s="3" t="s">
        <v>174</v>
      </c>
      <c r="K56" s="3" t="s">
        <v>602</v>
      </c>
      <c r="L56" s="3" t="s">
        <v>603</v>
      </c>
      <c r="M56" s="3" t="s">
        <v>604</v>
      </c>
      <c r="N56" s="3" t="s">
        <v>605</v>
      </c>
      <c r="O56" s="3" t="s">
        <v>210</v>
      </c>
      <c r="P56" s="3" t="s">
        <v>606</v>
      </c>
      <c r="Q56" s="13" t="s">
        <v>191</v>
      </c>
      <c r="R56" s="5"/>
    </row>
    <row r="57" spans="1:18" x14ac:dyDescent="0.55000000000000004">
      <c r="A57" s="2">
        <v>56</v>
      </c>
      <c r="B57" s="3" t="s">
        <v>607</v>
      </c>
      <c r="C57" s="2" t="s">
        <v>159</v>
      </c>
      <c r="D57" s="2" t="s">
        <v>160</v>
      </c>
      <c r="E57" s="2">
        <v>67</v>
      </c>
      <c r="F57" s="2">
        <v>1.72</v>
      </c>
      <c r="G57" s="2">
        <v>39</v>
      </c>
      <c r="H57" s="3" t="s">
        <v>608</v>
      </c>
      <c r="I57" s="3" t="s">
        <v>183</v>
      </c>
      <c r="J57" s="3" t="s">
        <v>174</v>
      </c>
      <c r="K57" s="3" t="s">
        <v>609</v>
      </c>
      <c r="L57" s="3" t="s">
        <v>610</v>
      </c>
      <c r="M57" s="3" t="s">
        <v>611</v>
      </c>
      <c r="N57" s="3" t="s">
        <v>612</v>
      </c>
      <c r="O57" s="3" t="s">
        <v>174</v>
      </c>
      <c r="P57" s="3" t="s">
        <v>613</v>
      </c>
      <c r="Q57" s="100" t="s">
        <v>246</v>
      </c>
      <c r="R57" s="5"/>
    </row>
    <row r="58" spans="1:18" x14ac:dyDescent="0.55000000000000004">
      <c r="A58" s="2">
        <v>57</v>
      </c>
      <c r="B58" s="3" t="s">
        <v>614</v>
      </c>
      <c r="C58" s="2" t="s">
        <v>322</v>
      </c>
      <c r="D58" s="2" t="s">
        <v>193</v>
      </c>
      <c r="E58" s="2">
        <v>90</v>
      </c>
      <c r="F58" s="2">
        <v>1.7</v>
      </c>
      <c r="G58" s="2">
        <v>26</v>
      </c>
      <c r="H58" s="3" t="s">
        <v>615</v>
      </c>
      <c r="I58" s="3" t="s">
        <v>183</v>
      </c>
      <c r="J58" s="3" t="s">
        <v>174</v>
      </c>
      <c r="K58" s="3" t="s">
        <v>616</v>
      </c>
      <c r="L58" s="3" t="s">
        <v>617</v>
      </c>
      <c r="M58" s="3" t="s">
        <v>618</v>
      </c>
      <c r="N58" s="3" t="s">
        <v>619</v>
      </c>
      <c r="O58" s="3" t="s">
        <v>174</v>
      </c>
      <c r="P58" s="3" t="s">
        <v>620</v>
      </c>
      <c r="Q58" s="10" t="s">
        <v>361</v>
      </c>
      <c r="R58" s="5"/>
    </row>
    <row r="59" spans="1:18" x14ac:dyDescent="0.55000000000000004">
      <c r="A59" s="2">
        <v>58</v>
      </c>
      <c r="B59" s="3" t="s">
        <v>621</v>
      </c>
      <c r="C59" s="2" t="s">
        <v>214</v>
      </c>
      <c r="D59" s="2" t="s">
        <v>193</v>
      </c>
      <c r="E59" s="2">
        <v>60</v>
      </c>
      <c r="F59" s="2">
        <v>1.57</v>
      </c>
      <c r="G59" s="2">
        <v>35</v>
      </c>
      <c r="H59" s="3" t="s">
        <v>622</v>
      </c>
      <c r="I59" s="3" t="s">
        <v>173</v>
      </c>
      <c r="J59" s="3" t="s">
        <v>623</v>
      </c>
      <c r="K59" s="3" t="s">
        <v>624</v>
      </c>
      <c r="L59" s="3" t="s">
        <v>625</v>
      </c>
      <c r="M59" s="3" t="s">
        <v>626</v>
      </c>
      <c r="N59" s="3" t="s">
        <v>627</v>
      </c>
      <c r="O59" s="3" t="s">
        <v>628</v>
      </c>
      <c r="P59" s="3" t="s">
        <v>629</v>
      </c>
      <c r="Q59" s="99" t="s">
        <v>180</v>
      </c>
      <c r="R59" s="5"/>
    </row>
    <row r="60" spans="1:18" x14ac:dyDescent="0.55000000000000004">
      <c r="A60" s="2">
        <v>59</v>
      </c>
      <c r="B60" s="3" t="s">
        <v>630</v>
      </c>
      <c r="C60" s="2" t="s">
        <v>214</v>
      </c>
      <c r="D60" s="2" t="s">
        <v>193</v>
      </c>
      <c r="E60" s="2">
        <v>60</v>
      </c>
      <c r="F60" s="2">
        <v>1.61</v>
      </c>
      <c r="G60" s="2">
        <v>35</v>
      </c>
      <c r="H60" s="3" t="s">
        <v>631</v>
      </c>
      <c r="I60" s="3" t="s">
        <v>183</v>
      </c>
      <c r="J60" s="3" t="s">
        <v>174</v>
      </c>
      <c r="K60" s="3" t="s">
        <v>632</v>
      </c>
      <c r="L60" s="3" t="s">
        <v>633</v>
      </c>
      <c r="M60" s="3" t="s">
        <v>634</v>
      </c>
      <c r="N60" s="3" t="s">
        <v>635</v>
      </c>
      <c r="O60" s="3" t="s">
        <v>174</v>
      </c>
      <c r="P60" s="3" t="s">
        <v>636</v>
      </c>
      <c r="Q60" s="4" t="s">
        <v>212</v>
      </c>
      <c r="R60" s="5"/>
    </row>
    <row r="61" spans="1:18" x14ac:dyDescent="0.55000000000000004">
      <c r="A61" s="2">
        <v>60</v>
      </c>
      <c r="B61" s="3" t="s">
        <v>637</v>
      </c>
      <c r="C61" s="2" t="s">
        <v>160</v>
      </c>
      <c r="D61" s="2" t="s">
        <v>193</v>
      </c>
      <c r="E61" s="2">
        <v>64</v>
      </c>
      <c r="F61" s="2">
        <v>1.63</v>
      </c>
      <c r="G61" s="2">
        <v>32</v>
      </c>
      <c r="H61" s="3" t="s">
        <v>638</v>
      </c>
      <c r="I61" s="3" t="s">
        <v>183</v>
      </c>
      <c r="J61" s="3" t="s">
        <v>210</v>
      </c>
      <c r="K61" s="3" t="s">
        <v>639</v>
      </c>
      <c r="L61" s="3" t="s">
        <v>640</v>
      </c>
      <c r="M61" s="3" t="s">
        <v>641</v>
      </c>
      <c r="N61" s="3" t="s">
        <v>642</v>
      </c>
      <c r="O61" s="3" t="s">
        <v>643</v>
      </c>
      <c r="P61" s="3" t="s">
        <v>644</v>
      </c>
      <c r="Q61" s="14" t="s">
        <v>170</v>
      </c>
      <c r="R61" s="5"/>
    </row>
    <row r="62" spans="1:18" x14ac:dyDescent="0.55000000000000004">
      <c r="A62" s="2">
        <v>61</v>
      </c>
      <c r="B62" s="3" t="s">
        <v>645</v>
      </c>
      <c r="C62" s="2" t="s">
        <v>646</v>
      </c>
      <c r="D62" s="2" t="s">
        <v>193</v>
      </c>
      <c r="E62" s="2">
        <v>59</v>
      </c>
      <c r="F62" s="2">
        <v>1.64</v>
      </c>
      <c r="G62" s="2">
        <v>29</v>
      </c>
      <c r="H62" s="3" t="s">
        <v>647</v>
      </c>
      <c r="I62" s="3" t="s">
        <v>183</v>
      </c>
      <c r="J62" s="3" t="s">
        <v>174</v>
      </c>
      <c r="K62" s="3" t="s">
        <v>648</v>
      </c>
      <c r="L62" s="3" t="s">
        <v>649</v>
      </c>
      <c r="M62" s="3" t="s">
        <v>650</v>
      </c>
      <c r="N62" s="3" t="s">
        <v>651</v>
      </c>
      <c r="O62" s="3" t="s">
        <v>652</v>
      </c>
      <c r="P62" s="3" t="s">
        <v>653</v>
      </c>
      <c r="Q62" s="100" t="s">
        <v>246</v>
      </c>
      <c r="R62" s="5"/>
    </row>
    <row r="63" spans="1:18" x14ac:dyDescent="0.55000000000000004">
      <c r="A63" s="2">
        <v>62</v>
      </c>
      <c r="B63" s="3" t="s">
        <v>654</v>
      </c>
      <c r="C63" s="2" t="s">
        <v>160</v>
      </c>
      <c r="D63" s="2" t="s">
        <v>193</v>
      </c>
      <c r="E63" s="2">
        <v>67</v>
      </c>
      <c r="F63" s="2">
        <v>1.71</v>
      </c>
      <c r="G63" s="2">
        <v>53</v>
      </c>
      <c r="H63" s="3" t="s">
        <v>655</v>
      </c>
      <c r="I63" s="3" t="s">
        <v>183</v>
      </c>
      <c r="J63" s="3" t="s">
        <v>656</v>
      </c>
      <c r="K63" s="3" t="s">
        <v>657</v>
      </c>
      <c r="L63" s="3" t="s">
        <v>658</v>
      </c>
      <c r="M63" s="3" t="s">
        <v>659</v>
      </c>
      <c r="N63" s="3" t="s">
        <v>660</v>
      </c>
      <c r="O63" s="3" t="s">
        <v>174</v>
      </c>
      <c r="P63" s="3" t="s">
        <v>661</v>
      </c>
      <c r="Q63" s="9" t="s">
        <v>221</v>
      </c>
      <c r="R63" s="5"/>
    </row>
    <row r="64" spans="1:18" x14ac:dyDescent="0.55000000000000004">
      <c r="A64" s="2">
        <v>63</v>
      </c>
      <c r="B64" s="3" t="s">
        <v>662</v>
      </c>
      <c r="C64" s="2" t="s">
        <v>159</v>
      </c>
      <c r="D64" s="2" t="s">
        <v>160</v>
      </c>
      <c r="E64" s="2">
        <v>86</v>
      </c>
      <c r="F64" s="2">
        <v>1.81</v>
      </c>
      <c r="G64" s="2">
        <v>24</v>
      </c>
      <c r="H64" s="3" t="s">
        <v>663</v>
      </c>
      <c r="I64" s="3" t="s">
        <v>183</v>
      </c>
      <c r="J64" s="3" t="s">
        <v>270</v>
      </c>
      <c r="K64" s="3" t="s">
        <v>664</v>
      </c>
      <c r="L64" s="3" t="s">
        <v>665</v>
      </c>
      <c r="M64" s="3" t="s">
        <v>666</v>
      </c>
      <c r="N64" s="3" t="s">
        <v>667</v>
      </c>
      <c r="O64" s="3" t="s">
        <v>174</v>
      </c>
      <c r="P64" s="3" t="s">
        <v>668</v>
      </c>
      <c r="Q64" s="16" t="s">
        <v>202</v>
      </c>
      <c r="R64" s="5"/>
    </row>
    <row r="65" spans="1:18" x14ac:dyDescent="0.55000000000000004">
      <c r="A65" s="2">
        <v>64</v>
      </c>
      <c r="B65" s="3" t="s">
        <v>669</v>
      </c>
      <c r="C65" s="2" t="s">
        <v>159</v>
      </c>
      <c r="D65" s="2" t="s">
        <v>160</v>
      </c>
      <c r="E65" s="2">
        <v>92</v>
      </c>
      <c r="F65" s="2">
        <v>1.7</v>
      </c>
      <c r="G65" s="2">
        <v>45</v>
      </c>
      <c r="H65" s="3" t="s">
        <v>670</v>
      </c>
      <c r="I65" s="3" t="s">
        <v>183</v>
      </c>
      <c r="J65" s="3" t="s">
        <v>174</v>
      </c>
      <c r="K65" s="3" t="s">
        <v>671</v>
      </c>
      <c r="L65" s="3" t="s">
        <v>672</v>
      </c>
      <c r="M65" s="3" t="s">
        <v>673</v>
      </c>
      <c r="N65" s="3" t="s">
        <v>674</v>
      </c>
      <c r="O65" s="3" t="s">
        <v>174</v>
      </c>
      <c r="P65" s="3" t="s">
        <v>675</v>
      </c>
      <c r="Q65" s="99" t="s">
        <v>180</v>
      </c>
      <c r="R65" s="5"/>
    </row>
    <row r="66" spans="1:18" x14ac:dyDescent="0.55000000000000004">
      <c r="A66" s="2">
        <v>65</v>
      </c>
      <c r="B66" s="3" t="s">
        <v>676</v>
      </c>
      <c r="C66" s="2" t="s">
        <v>214</v>
      </c>
      <c r="D66" s="2" t="s">
        <v>160</v>
      </c>
      <c r="E66" s="2">
        <v>76</v>
      </c>
      <c r="F66" s="2"/>
      <c r="G66" s="2">
        <v>32</v>
      </c>
      <c r="H66" s="3" t="s">
        <v>677</v>
      </c>
      <c r="I66" s="3" t="s">
        <v>183</v>
      </c>
      <c r="J66" s="3" t="s">
        <v>678</v>
      </c>
      <c r="K66" s="3" t="s">
        <v>679</v>
      </c>
      <c r="L66" s="3" t="s">
        <v>680</v>
      </c>
      <c r="M66" s="3" t="s">
        <v>681</v>
      </c>
      <c r="N66" s="3" t="s">
        <v>682</v>
      </c>
      <c r="O66" s="3" t="s">
        <v>683</v>
      </c>
      <c r="P66" s="3" t="s">
        <v>684</v>
      </c>
      <c r="Q66" s="9" t="s">
        <v>221</v>
      </c>
      <c r="R66" s="5"/>
    </row>
    <row r="67" spans="1:18" x14ac:dyDescent="0.55000000000000004">
      <c r="A67" s="2">
        <v>66</v>
      </c>
      <c r="B67" s="3" t="s">
        <v>685</v>
      </c>
      <c r="C67" s="2" t="s">
        <v>160</v>
      </c>
      <c r="D67" s="2" t="s">
        <v>160</v>
      </c>
      <c r="E67" s="2">
        <v>78</v>
      </c>
      <c r="F67" s="2">
        <v>1.67</v>
      </c>
      <c r="G67" s="2">
        <v>41</v>
      </c>
      <c r="H67" s="3" t="s">
        <v>686</v>
      </c>
      <c r="I67" s="3" t="s">
        <v>183</v>
      </c>
      <c r="J67" s="3" t="s">
        <v>270</v>
      </c>
      <c r="K67" s="3" t="s">
        <v>687</v>
      </c>
      <c r="L67" s="3" t="s">
        <v>688</v>
      </c>
      <c r="M67" s="3" t="s">
        <v>596</v>
      </c>
      <c r="N67" s="3" t="s">
        <v>689</v>
      </c>
      <c r="O67" s="3" t="s">
        <v>270</v>
      </c>
      <c r="P67" s="3" t="s">
        <v>690</v>
      </c>
      <c r="Q67" s="100" t="s">
        <v>246</v>
      </c>
      <c r="R67" s="5"/>
    </row>
    <row r="68" spans="1:18" x14ac:dyDescent="0.55000000000000004">
      <c r="A68" s="2">
        <v>67</v>
      </c>
      <c r="B68" s="3" t="s">
        <v>691</v>
      </c>
      <c r="C68" s="2" t="s">
        <v>549</v>
      </c>
      <c r="D68" s="2" t="s">
        <v>160</v>
      </c>
      <c r="E68" s="2">
        <v>110</v>
      </c>
      <c r="F68" s="2">
        <v>1.85</v>
      </c>
      <c r="G68" s="2">
        <v>28</v>
      </c>
      <c r="H68" s="3" t="s">
        <v>692</v>
      </c>
      <c r="I68" s="3" t="s">
        <v>183</v>
      </c>
      <c r="J68" s="3" t="s">
        <v>210</v>
      </c>
      <c r="K68" s="3" t="s">
        <v>693</v>
      </c>
      <c r="L68" s="3" t="s">
        <v>694</v>
      </c>
      <c r="M68" s="3" t="s">
        <v>693</v>
      </c>
      <c r="N68" s="3" t="s">
        <v>694</v>
      </c>
      <c r="O68" s="3" t="s">
        <v>210</v>
      </c>
      <c r="P68" s="3" t="s">
        <v>695</v>
      </c>
      <c r="Q68" s="100" t="s">
        <v>246</v>
      </c>
      <c r="R68" s="5"/>
    </row>
    <row r="69" spans="1:18" x14ac:dyDescent="0.55000000000000004">
      <c r="A69" s="2">
        <v>68</v>
      </c>
      <c r="B69" s="3" t="s">
        <v>696</v>
      </c>
      <c r="C69" s="2" t="s">
        <v>214</v>
      </c>
      <c r="D69" s="2" t="s">
        <v>193</v>
      </c>
      <c r="E69" s="2">
        <v>60</v>
      </c>
      <c r="F69" s="2">
        <v>1.6</v>
      </c>
      <c r="G69" s="2">
        <v>24</v>
      </c>
      <c r="H69" s="3" t="s">
        <v>697</v>
      </c>
      <c r="I69" s="3" t="s">
        <v>183</v>
      </c>
      <c r="J69" s="3" t="s">
        <v>698</v>
      </c>
      <c r="K69" s="3" t="s">
        <v>699</v>
      </c>
      <c r="L69" s="3" t="s">
        <v>700</v>
      </c>
      <c r="M69" s="3" t="s">
        <v>701</v>
      </c>
      <c r="N69" s="3" t="s">
        <v>702</v>
      </c>
      <c r="O69" s="3" t="s">
        <v>174</v>
      </c>
      <c r="P69" s="3" t="s">
        <v>703</v>
      </c>
      <c r="Q69" s="15" t="s">
        <v>320</v>
      </c>
      <c r="R69" s="5"/>
    </row>
    <row r="70" spans="1:18" x14ac:dyDescent="0.55000000000000004">
      <c r="A70" s="2">
        <v>69</v>
      </c>
      <c r="B70" s="3" t="s">
        <v>704</v>
      </c>
      <c r="C70" s="2" t="s">
        <v>214</v>
      </c>
      <c r="D70" s="2" t="s">
        <v>193</v>
      </c>
      <c r="E70" s="2">
        <v>68</v>
      </c>
      <c r="F70" s="2">
        <v>1.67</v>
      </c>
      <c r="G70" s="2">
        <v>21</v>
      </c>
      <c r="H70" s="3" t="s">
        <v>705</v>
      </c>
      <c r="I70" s="3" t="s">
        <v>183</v>
      </c>
      <c r="J70" s="3" t="s">
        <v>270</v>
      </c>
      <c r="K70" s="3" t="s">
        <v>706</v>
      </c>
      <c r="L70" s="3" t="s">
        <v>707</v>
      </c>
      <c r="M70" s="3" t="s">
        <v>708</v>
      </c>
      <c r="N70" s="3" t="s">
        <v>709</v>
      </c>
      <c r="O70" s="3" t="s">
        <v>710</v>
      </c>
      <c r="P70" s="3" t="s">
        <v>711</v>
      </c>
      <c r="Q70" s="13" t="s">
        <v>191</v>
      </c>
      <c r="R70" s="5"/>
    </row>
    <row r="71" spans="1:18" x14ac:dyDescent="0.55000000000000004">
      <c r="A71" s="2">
        <v>70</v>
      </c>
      <c r="B71" s="3" t="s">
        <v>712</v>
      </c>
      <c r="C71" s="2" t="s">
        <v>160</v>
      </c>
      <c r="D71" s="2" t="s">
        <v>193</v>
      </c>
      <c r="E71" s="2">
        <v>63</v>
      </c>
      <c r="F71" s="2">
        <v>1.58</v>
      </c>
      <c r="G71" s="2">
        <v>48</v>
      </c>
      <c r="H71" s="3" t="s">
        <v>713</v>
      </c>
      <c r="I71" s="3" t="s">
        <v>183</v>
      </c>
      <c r="J71" s="3" t="s">
        <v>174</v>
      </c>
      <c r="K71" s="3" t="s">
        <v>714</v>
      </c>
      <c r="L71" s="3" t="s">
        <v>715</v>
      </c>
      <c r="M71" s="3" t="s">
        <v>716</v>
      </c>
      <c r="N71" s="3" t="s">
        <v>717</v>
      </c>
      <c r="O71" s="3" t="s">
        <v>174</v>
      </c>
      <c r="P71" s="3" t="s">
        <v>718</v>
      </c>
      <c r="Q71" s="99" t="s">
        <v>180</v>
      </c>
      <c r="R71" s="5"/>
    </row>
    <row r="72" spans="1:18" x14ac:dyDescent="0.55000000000000004">
      <c r="A72" s="2">
        <v>71</v>
      </c>
      <c r="B72" s="3" t="s">
        <v>719</v>
      </c>
      <c r="C72" s="2" t="s">
        <v>160</v>
      </c>
      <c r="D72" s="2" t="s">
        <v>193</v>
      </c>
      <c r="E72" s="2">
        <v>76</v>
      </c>
      <c r="F72" s="2">
        <v>1.64</v>
      </c>
      <c r="G72" s="2">
        <v>45</v>
      </c>
      <c r="H72" s="3" t="s">
        <v>720</v>
      </c>
      <c r="I72" s="3" t="s">
        <v>183</v>
      </c>
      <c r="J72" s="3" t="s">
        <v>721</v>
      </c>
      <c r="K72" s="3" t="s">
        <v>325</v>
      </c>
      <c r="L72" s="3" t="s">
        <v>722</v>
      </c>
      <c r="M72" s="3" t="s">
        <v>327</v>
      </c>
      <c r="N72" s="3" t="s">
        <v>328</v>
      </c>
      <c r="O72" s="3" t="s">
        <v>210</v>
      </c>
      <c r="P72" s="3" t="s">
        <v>723</v>
      </c>
      <c r="Q72" s="14" t="s">
        <v>170</v>
      </c>
      <c r="R72" s="5">
        <v>19</v>
      </c>
    </row>
    <row r="73" spans="1:18" x14ac:dyDescent="0.55000000000000004">
      <c r="A73" s="2">
        <v>72</v>
      </c>
      <c r="B73" s="3" t="s">
        <v>724</v>
      </c>
      <c r="C73" s="2" t="s">
        <v>160</v>
      </c>
      <c r="D73" s="2" t="s">
        <v>160</v>
      </c>
      <c r="E73" s="2">
        <v>65</v>
      </c>
      <c r="F73" s="2">
        <v>1.8</v>
      </c>
      <c r="G73" s="2">
        <v>21</v>
      </c>
      <c r="H73" s="3" t="s">
        <v>725</v>
      </c>
      <c r="I73" s="3" t="s">
        <v>726</v>
      </c>
      <c r="J73" s="3" t="s">
        <v>174</v>
      </c>
      <c r="K73" s="3" t="s">
        <v>727</v>
      </c>
      <c r="L73" s="3" t="s">
        <v>728</v>
      </c>
      <c r="M73" s="3" t="s">
        <v>729</v>
      </c>
      <c r="N73" s="3" t="s">
        <v>730</v>
      </c>
      <c r="O73" s="3" t="s">
        <v>174</v>
      </c>
      <c r="P73" s="3" t="s">
        <v>731</v>
      </c>
      <c r="Q73" s="13" t="s">
        <v>191</v>
      </c>
      <c r="R73" s="5"/>
    </row>
    <row r="74" spans="1:18" x14ac:dyDescent="0.55000000000000004">
      <c r="A74" s="2">
        <v>73</v>
      </c>
      <c r="B74" s="3" t="s">
        <v>732</v>
      </c>
      <c r="C74" s="2" t="s">
        <v>160</v>
      </c>
      <c r="D74" s="2" t="s">
        <v>193</v>
      </c>
      <c r="E74" s="2">
        <v>61</v>
      </c>
      <c r="F74" s="2">
        <v>1.63</v>
      </c>
      <c r="G74" s="2">
        <v>32</v>
      </c>
      <c r="H74" s="3" t="s">
        <v>733</v>
      </c>
      <c r="I74" s="3" t="s">
        <v>734</v>
      </c>
      <c r="J74" s="3" t="s">
        <v>210</v>
      </c>
      <c r="K74" s="3" t="s">
        <v>735</v>
      </c>
      <c r="L74" s="3" t="s">
        <v>736</v>
      </c>
      <c r="M74" s="3" t="s">
        <v>737</v>
      </c>
      <c r="N74" s="3" t="s">
        <v>738</v>
      </c>
      <c r="O74" s="3" t="s">
        <v>210</v>
      </c>
      <c r="P74" s="3" t="s">
        <v>739</v>
      </c>
      <c r="Q74" s="99" t="s">
        <v>180</v>
      </c>
      <c r="R74" s="5"/>
    </row>
    <row r="75" spans="1:18" x14ac:dyDescent="0.55000000000000004">
      <c r="A75" s="2">
        <v>74</v>
      </c>
      <c r="B75" s="3" t="s">
        <v>740</v>
      </c>
      <c r="C75" s="2" t="s">
        <v>159</v>
      </c>
      <c r="D75" s="2" t="s">
        <v>193</v>
      </c>
      <c r="E75" s="2">
        <v>69</v>
      </c>
      <c r="F75" s="2">
        <v>1.63</v>
      </c>
      <c r="G75" s="2">
        <v>39</v>
      </c>
      <c r="H75" s="3" t="s">
        <v>741</v>
      </c>
      <c r="I75" s="3" t="s">
        <v>183</v>
      </c>
      <c r="J75" s="3" t="s">
        <v>174</v>
      </c>
      <c r="K75" s="3" t="s">
        <v>742</v>
      </c>
      <c r="L75" s="3" t="s">
        <v>743</v>
      </c>
      <c r="M75" s="3" t="s">
        <v>744</v>
      </c>
      <c r="N75" s="3" t="s">
        <v>745</v>
      </c>
      <c r="O75" s="3" t="s">
        <v>174</v>
      </c>
      <c r="P75" s="3" t="s">
        <v>746</v>
      </c>
      <c r="Q75" s="4" t="s">
        <v>212</v>
      </c>
      <c r="R75" s="5"/>
    </row>
    <row r="76" spans="1:18" x14ac:dyDescent="0.55000000000000004">
      <c r="A76" s="2">
        <v>75</v>
      </c>
      <c r="B76" s="3" t="s">
        <v>747</v>
      </c>
      <c r="C76" s="2" t="s">
        <v>400</v>
      </c>
      <c r="D76" s="2" t="s">
        <v>193</v>
      </c>
      <c r="E76" s="2">
        <v>95</v>
      </c>
      <c r="F76" s="2">
        <v>1.56</v>
      </c>
      <c r="G76" s="2">
        <v>28</v>
      </c>
      <c r="H76" s="3" t="s">
        <v>748</v>
      </c>
      <c r="I76" s="3" t="s">
        <v>173</v>
      </c>
      <c r="J76" s="3" t="s">
        <v>749</v>
      </c>
      <c r="K76" s="3" t="s">
        <v>750</v>
      </c>
      <c r="L76" s="3" t="s">
        <v>751</v>
      </c>
      <c r="M76" s="3" t="s">
        <v>752</v>
      </c>
      <c r="N76" s="3" t="s">
        <v>753</v>
      </c>
      <c r="O76" s="3" t="s">
        <v>195</v>
      </c>
      <c r="P76" s="3" t="s">
        <v>754</v>
      </c>
      <c r="Q76" s="10" t="s">
        <v>361</v>
      </c>
      <c r="R76" s="5"/>
    </row>
    <row r="77" spans="1:18" x14ac:dyDescent="0.55000000000000004">
      <c r="A77" s="2">
        <v>76</v>
      </c>
      <c r="B77" s="3" t="s">
        <v>755</v>
      </c>
      <c r="C77" s="2" t="s">
        <v>159</v>
      </c>
      <c r="D77" s="2" t="s">
        <v>193</v>
      </c>
      <c r="E77" s="2">
        <v>60</v>
      </c>
      <c r="F77" s="2">
        <v>1.56</v>
      </c>
      <c r="G77" s="2">
        <v>58</v>
      </c>
      <c r="H77" s="3" t="s">
        <v>756</v>
      </c>
      <c r="I77" s="3" t="s">
        <v>757</v>
      </c>
      <c r="J77" s="3" t="s">
        <v>758</v>
      </c>
      <c r="K77" s="3" t="s">
        <v>759</v>
      </c>
      <c r="L77" s="3" t="s">
        <v>760</v>
      </c>
      <c r="M77" s="3" t="s">
        <v>761</v>
      </c>
      <c r="N77" s="3" t="s">
        <v>762</v>
      </c>
      <c r="O77" s="3" t="s">
        <v>174</v>
      </c>
      <c r="P77" s="3" t="s">
        <v>763</v>
      </c>
      <c r="Q77" s="99" t="s">
        <v>180</v>
      </c>
      <c r="R77" s="5"/>
    </row>
    <row r="78" spans="1:18" x14ac:dyDescent="0.55000000000000004">
      <c r="A78" s="2">
        <v>77</v>
      </c>
      <c r="B78" s="3" t="s">
        <v>764</v>
      </c>
      <c r="C78" s="2" t="s">
        <v>159</v>
      </c>
      <c r="D78" s="2" t="s">
        <v>160</v>
      </c>
      <c r="E78" s="2">
        <v>88</v>
      </c>
      <c r="F78" s="2">
        <v>1.78</v>
      </c>
      <c r="G78" s="2">
        <v>43</v>
      </c>
      <c r="H78" s="3" t="s">
        <v>765</v>
      </c>
      <c r="I78" s="3" t="s">
        <v>183</v>
      </c>
      <c r="J78" s="3" t="s">
        <v>766</v>
      </c>
      <c r="K78" s="3" t="s">
        <v>767</v>
      </c>
      <c r="L78" s="3" t="s">
        <v>768</v>
      </c>
      <c r="M78" s="3" t="s">
        <v>769</v>
      </c>
      <c r="N78" s="3" t="s">
        <v>770</v>
      </c>
      <c r="O78" s="3" t="s">
        <v>174</v>
      </c>
      <c r="P78" s="3" t="s">
        <v>771</v>
      </c>
      <c r="Q78" s="100" t="s">
        <v>246</v>
      </c>
      <c r="R78" s="5"/>
    </row>
    <row r="79" spans="1:18" x14ac:dyDescent="0.55000000000000004">
      <c r="A79" s="2">
        <v>78</v>
      </c>
      <c r="B79" s="3" t="s">
        <v>772</v>
      </c>
      <c r="C79" s="2" t="s">
        <v>322</v>
      </c>
      <c r="D79" s="2" t="s">
        <v>160</v>
      </c>
      <c r="E79" s="2">
        <v>95</v>
      </c>
      <c r="F79" s="2">
        <v>1.72</v>
      </c>
      <c r="G79" s="2">
        <v>42</v>
      </c>
      <c r="H79" s="3" t="s">
        <v>773</v>
      </c>
      <c r="I79" s="3" t="s">
        <v>183</v>
      </c>
      <c r="J79" s="3" t="s">
        <v>174</v>
      </c>
      <c r="K79" s="3" t="s">
        <v>774</v>
      </c>
      <c r="L79" s="3" t="s">
        <v>775</v>
      </c>
      <c r="M79" s="3" t="s">
        <v>776</v>
      </c>
      <c r="N79" s="3" t="s">
        <v>777</v>
      </c>
      <c r="O79" s="3" t="s">
        <v>174</v>
      </c>
      <c r="P79" s="3" t="s">
        <v>778</v>
      </c>
      <c r="Q79" s="16" t="s">
        <v>202</v>
      </c>
      <c r="R79" s="5"/>
    </row>
    <row r="80" spans="1:18" x14ac:dyDescent="0.55000000000000004">
      <c r="A80" s="2">
        <v>79</v>
      </c>
      <c r="B80" s="3" t="s">
        <v>779</v>
      </c>
      <c r="C80" s="2" t="s">
        <v>159</v>
      </c>
      <c r="D80" s="2" t="s">
        <v>193</v>
      </c>
      <c r="E80" s="2">
        <v>79</v>
      </c>
      <c r="F80" s="2">
        <v>1.68</v>
      </c>
      <c r="G80" s="2">
        <v>45</v>
      </c>
      <c r="H80" s="3" t="s">
        <v>780</v>
      </c>
      <c r="I80" s="3" t="s">
        <v>440</v>
      </c>
      <c r="J80" s="3" t="s">
        <v>210</v>
      </c>
      <c r="K80" s="3" t="s">
        <v>781</v>
      </c>
      <c r="L80" s="3" t="s">
        <v>782</v>
      </c>
      <c r="M80" s="3" t="s">
        <v>783</v>
      </c>
      <c r="N80" s="3" t="s">
        <v>784</v>
      </c>
      <c r="O80" s="3" t="s">
        <v>785</v>
      </c>
      <c r="P80" s="3" t="s">
        <v>786</v>
      </c>
      <c r="Q80" s="16" t="s">
        <v>202</v>
      </c>
      <c r="R80" s="5"/>
    </row>
    <row r="81" spans="1:18" x14ac:dyDescent="0.55000000000000004">
      <c r="A81" s="2">
        <v>80</v>
      </c>
      <c r="B81" s="3" t="s">
        <v>787</v>
      </c>
      <c r="C81" s="2" t="s">
        <v>646</v>
      </c>
      <c r="D81" s="2" t="s">
        <v>193</v>
      </c>
      <c r="E81" s="2">
        <v>48</v>
      </c>
      <c r="F81" s="2">
        <v>1.48</v>
      </c>
      <c r="G81" s="2">
        <v>23</v>
      </c>
      <c r="H81" s="3" t="s">
        <v>788</v>
      </c>
      <c r="I81" s="3" t="s">
        <v>183</v>
      </c>
      <c r="J81" s="3" t="s">
        <v>210</v>
      </c>
      <c r="K81" s="3" t="s">
        <v>789</v>
      </c>
      <c r="L81" s="3" t="s">
        <v>790</v>
      </c>
      <c r="M81" s="3" t="s">
        <v>791</v>
      </c>
      <c r="N81" s="3" t="s">
        <v>792</v>
      </c>
      <c r="O81" s="3" t="s">
        <v>793</v>
      </c>
      <c r="P81" s="3" t="s">
        <v>794</v>
      </c>
      <c r="Q81" s="99" t="s">
        <v>180</v>
      </c>
      <c r="R81" s="5"/>
    </row>
    <row r="82" spans="1:18" x14ac:dyDescent="0.55000000000000004">
      <c r="A82" s="2">
        <v>81</v>
      </c>
      <c r="B82" s="3" t="s">
        <v>749</v>
      </c>
      <c r="C82" s="2" t="s">
        <v>160</v>
      </c>
      <c r="D82" s="2" t="s">
        <v>160</v>
      </c>
      <c r="E82" s="2">
        <v>76</v>
      </c>
      <c r="F82" s="2">
        <v>1.64</v>
      </c>
      <c r="G82" s="2">
        <v>33</v>
      </c>
      <c r="H82" s="3" t="s">
        <v>795</v>
      </c>
      <c r="I82" s="3" t="s">
        <v>526</v>
      </c>
      <c r="J82" s="3" t="s">
        <v>796</v>
      </c>
      <c r="K82" s="3" t="s">
        <v>752</v>
      </c>
      <c r="L82" s="3" t="s">
        <v>753</v>
      </c>
      <c r="M82" s="3" t="s">
        <v>797</v>
      </c>
      <c r="N82" s="3" t="s">
        <v>798</v>
      </c>
      <c r="O82" s="3" t="s">
        <v>210</v>
      </c>
      <c r="P82" s="3" t="s">
        <v>799</v>
      </c>
      <c r="Q82" s="15" t="s">
        <v>320</v>
      </c>
      <c r="R82" s="5"/>
    </row>
    <row r="83" spans="1:18" x14ac:dyDescent="0.55000000000000004">
      <c r="A83" s="2">
        <v>82</v>
      </c>
      <c r="B83" s="3" t="s">
        <v>379</v>
      </c>
      <c r="C83" s="2" t="s">
        <v>159</v>
      </c>
      <c r="D83" s="2" t="s">
        <v>193</v>
      </c>
      <c r="E83" s="2">
        <v>82</v>
      </c>
      <c r="F83" s="2">
        <v>1.57</v>
      </c>
      <c r="G83" s="2">
        <v>44</v>
      </c>
      <c r="H83" s="3" t="s">
        <v>800</v>
      </c>
      <c r="I83" s="3" t="s">
        <v>183</v>
      </c>
      <c r="J83" s="3" t="s">
        <v>801</v>
      </c>
      <c r="K83" s="3" t="s">
        <v>802</v>
      </c>
      <c r="L83" s="3" t="s">
        <v>803</v>
      </c>
      <c r="M83" s="3" t="s">
        <v>804</v>
      </c>
      <c r="N83" s="3" t="s">
        <v>805</v>
      </c>
      <c r="O83" s="3" t="s">
        <v>806</v>
      </c>
      <c r="P83" s="3" t="s">
        <v>807</v>
      </c>
      <c r="Q83" s="14" t="s">
        <v>170</v>
      </c>
      <c r="R83" s="5">
        <v>26</v>
      </c>
    </row>
    <row r="84" spans="1:18" x14ac:dyDescent="0.55000000000000004">
      <c r="A84" s="2">
        <v>83</v>
      </c>
      <c r="B84" s="3" t="s">
        <v>808</v>
      </c>
      <c r="C84" s="2" t="s">
        <v>159</v>
      </c>
      <c r="D84" s="2" t="s">
        <v>160</v>
      </c>
      <c r="E84" s="2">
        <v>90</v>
      </c>
      <c r="F84" s="2">
        <v>1.8</v>
      </c>
      <c r="G84" s="2">
        <v>49</v>
      </c>
      <c r="H84" s="3" t="s">
        <v>809</v>
      </c>
      <c r="I84" s="3" t="s">
        <v>440</v>
      </c>
      <c r="J84" s="3" t="s">
        <v>441</v>
      </c>
      <c r="K84" s="3" t="s">
        <v>810</v>
      </c>
      <c r="L84" s="3" t="s">
        <v>811</v>
      </c>
      <c r="M84" s="3" t="s">
        <v>812</v>
      </c>
      <c r="N84" s="3" t="s">
        <v>813</v>
      </c>
      <c r="O84" s="3" t="s">
        <v>441</v>
      </c>
      <c r="P84" s="3" t="s">
        <v>814</v>
      </c>
      <c r="Q84" s="99" t="s">
        <v>180</v>
      </c>
      <c r="R84" s="5"/>
    </row>
    <row r="85" spans="1:18" x14ac:dyDescent="0.55000000000000004">
      <c r="A85" s="2">
        <v>84</v>
      </c>
      <c r="B85" s="3" t="s">
        <v>815</v>
      </c>
      <c r="C85" s="2" t="s">
        <v>214</v>
      </c>
      <c r="D85" s="2" t="s">
        <v>160</v>
      </c>
      <c r="E85" s="2">
        <v>81</v>
      </c>
      <c r="F85" s="2">
        <v>1.7</v>
      </c>
      <c r="G85" s="2">
        <v>48</v>
      </c>
      <c r="H85" s="3" t="s">
        <v>816</v>
      </c>
      <c r="I85" s="3" t="s">
        <v>183</v>
      </c>
      <c r="J85" s="3" t="s">
        <v>210</v>
      </c>
      <c r="K85" s="3" t="s">
        <v>817</v>
      </c>
      <c r="L85" s="3" t="s">
        <v>818</v>
      </c>
      <c r="M85" s="3" t="s">
        <v>819</v>
      </c>
      <c r="N85" s="3" t="s">
        <v>820</v>
      </c>
      <c r="O85" s="3" t="s">
        <v>210</v>
      </c>
      <c r="P85" s="3" t="s">
        <v>821</v>
      </c>
      <c r="Q85" s="13" t="s">
        <v>191</v>
      </c>
      <c r="R85" s="5"/>
    </row>
    <row r="86" spans="1:18" x14ac:dyDescent="0.55000000000000004">
      <c r="A86" s="2">
        <v>85</v>
      </c>
      <c r="B86" s="3" t="s">
        <v>822</v>
      </c>
      <c r="C86" s="2" t="s">
        <v>160</v>
      </c>
      <c r="D86" s="2" t="s">
        <v>193</v>
      </c>
      <c r="E86" s="2">
        <v>62</v>
      </c>
      <c r="F86" s="2">
        <v>1.63</v>
      </c>
      <c r="G86" s="2">
        <v>33</v>
      </c>
      <c r="H86" s="3" t="s">
        <v>823</v>
      </c>
      <c r="I86" s="3" t="s">
        <v>757</v>
      </c>
      <c r="J86" s="3" t="s">
        <v>270</v>
      </c>
      <c r="K86" s="3" t="s">
        <v>824</v>
      </c>
      <c r="L86" s="3" t="s">
        <v>825</v>
      </c>
      <c r="M86" s="3" t="s">
        <v>826</v>
      </c>
      <c r="N86" s="3" t="s">
        <v>827</v>
      </c>
      <c r="O86" s="3" t="s">
        <v>270</v>
      </c>
      <c r="P86" s="3" t="s">
        <v>828</v>
      </c>
      <c r="Q86" s="13" t="s">
        <v>191</v>
      </c>
      <c r="R86" s="5"/>
    </row>
    <row r="87" spans="1:18" x14ac:dyDescent="0.55000000000000004">
      <c r="A87" s="2">
        <v>86</v>
      </c>
      <c r="B87" s="3" t="s">
        <v>829</v>
      </c>
      <c r="C87" s="2" t="s">
        <v>159</v>
      </c>
      <c r="D87" s="2" t="s">
        <v>160</v>
      </c>
      <c r="E87" s="2">
        <v>93</v>
      </c>
      <c r="F87" s="2">
        <v>1.87</v>
      </c>
      <c r="G87" s="2">
        <v>27</v>
      </c>
      <c r="H87" s="3" t="s">
        <v>830</v>
      </c>
      <c r="I87" s="3" t="s">
        <v>173</v>
      </c>
      <c r="J87" s="3" t="s">
        <v>270</v>
      </c>
      <c r="K87" s="3" t="s">
        <v>831</v>
      </c>
      <c r="L87" s="3" t="s">
        <v>832</v>
      </c>
      <c r="M87" s="3" t="s">
        <v>833</v>
      </c>
      <c r="N87" s="3" t="s">
        <v>834</v>
      </c>
      <c r="O87" s="3" t="s">
        <v>270</v>
      </c>
      <c r="P87" s="3" t="s">
        <v>835</v>
      </c>
      <c r="Q87" s="99" t="s">
        <v>180</v>
      </c>
      <c r="R87" s="5"/>
    </row>
    <row r="88" spans="1:18" x14ac:dyDescent="0.55000000000000004">
      <c r="A88" s="2">
        <v>87</v>
      </c>
      <c r="B88" s="3" t="s">
        <v>836</v>
      </c>
      <c r="C88" s="2" t="s">
        <v>160</v>
      </c>
      <c r="D88" s="2" t="s">
        <v>160</v>
      </c>
      <c r="E88" s="2">
        <v>70</v>
      </c>
      <c r="F88" s="2">
        <v>1.74</v>
      </c>
      <c r="G88" s="2">
        <v>52</v>
      </c>
      <c r="H88" s="3" t="s">
        <v>837</v>
      </c>
      <c r="I88" s="3" t="s">
        <v>173</v>
      </c>
      <c r="J88" s="3" t="s">
        <v>174</v>
      </c>
      <c r="K88" s="3" t="s">
        <v>838</v>
      </c>
      <c r="L88" s="3" t="s">
        <v>839</v>
      </c>
      <c r="M88" s="3" t="s">
        <v>840</v>
      </c>
      <c r="N88" s="3" t="s">
        <v>841</v>
      </c>
      <c r="O88" s="3" t="s">
        <v>174</v>
      </c>
      <c r="P88" s="3" t="s">
        <v>842</v>
      </c>
      <c r="Q88" s="15" t="s">
        <v>320</v>
      </c>
      <c r="R88" s="5"/>
    </row>
    <row r="89" spans="1:18" x14ac:dyDescent="0.55000000000000004">
      <c r="A89" s="2">
        <v>88</v>
      </c>
      <c r="B89" s="3" t="s">
        <v>843</v>
      </c>
      <c r="C89" s="2" t="s">
        <v>322</v>
      </c>
      <c r="D89" s="2" t="s">
        <v>193</v>
      </c>
      <c r="E89" s="2">
        <v>90</v>
      </c>
      <c r="F89" s="2">
        <v>1.63</v>
      </c>
      <c r="G89" s="2">
        <v>53</v>
      </c>
      <c r="H89" s="3" t="s">
        <v>844</v>
      </c>
      <c r="I89" s="3" t="s">
        <v>183</v>
      </c>
      <c r="J89" s="3" t="s">
        <v>174</v>
      </c>
      <c r="K89" s="3" t="s">
        <v>845</v>
      </c>
      <c r="L89" s="3" t="s">
        <v>846</v>
      </c>
      <c r="M89" s="3" t="s">
        <v>847</v>
      </c>
      <c r="N89" s="3" t="s">
        <v>848</v>
      </c>
      <c r="O89" s="3" t="s">
        <v>174</v>
      </c>
      <c r="P89" s="3" t="s">
        <v>849</v>
      </c>
      <c r="Q89" s="13" t="s">
        <v>191</v>
      </c>
      <c r="R89" s="5"/>
    </row>
    <row r="90" spans="1:18" x14ac:dyDescent="0.55000000000000004">
      <c r="A90" s="2">
        <v>89</v>
      </c>
      <c r="B90" s="3" t="s">
        <v>850</v>
      </c>
      <c r="C90" s="2" t="s">
        <v>160</v>
      </c>
      <c r="D90" s="2" t="s">
        <v>160</v>
      </c>
      <c r="E90" s="2">
        <v>70</v>
      </c>
      <c r="F90" s="2">
        <v>1.71</v>
      </c>
      <c r="G90" s="2">
        <v>51</v>
      </c>
      <c r="H90" s="3" t="s">
        <v>851</v>
      </c>
      <c r="I90" s="3" t="s">
        <v>183</v>
      </c>
      <c r="J90" s="3" t="s">
        <v>210</v>
      </c>
      <c r="K90" s="3" t="s">
        <v>852</v>
      </c>
      <c r="L90" s="3" t="s">
        <v>853</v>
      </c>
      <c r="M90" s="3" t="s">
        <v>854</v>
      </c>
      <c r="N90" s="3" t="s">
        <v>855</v>
      </c>
      <c r="O90" s="3" t="s">
        <v>210</v>
      </c>
      <c r="P90" s="3" t="s">
        <v>856</v>
      </c>
      <c r="Q90" s="100" t="s">
        <v>246</v>
      </c>
      <c r="R90" s="5"/>
    </row>
    <row r="91" spans="1:18" x14ac:dyDescent="0.55000000000000004">
      <c r="A91" s="2">
        <v>90</v>
      </c>
      <c r="B91" s="3" t="s">
        <v>857</v>
      </c>
      <c r="C91" s="2" t="s">
        <v>159</v>
      </c>
      <c r="D91" s="2" t="s">
        <v>160</v>
      </c>
      <c r="E91" s="2">
        <v>87</v>
      </c>
      <c r="F91" s="2">
        <v>1.8</v>
      </c>
      <c r="G91" s="2">
        <v>48</v>
      </c>
      <c r="H91" s="3" t="s">
        <v>858</v>
      </c>
      <c r="I91" s="3" t="s">
        <v>468</v>
      </c>
      <c r="J91" s="3" t="s">
        <v>450</v>
      </c>
      <c r="K91" s="3" t="s">
        <v>859</v>
      </c>
      <c r="L91" s="3" t="s">
        <v>860</v>
      </c>
      <c r="M91" s="3" t="s">
        <v>861</v>
      </c>
      <c r="N91" s="3" t="s">
        <v>862</v>
      </c>
      <c r="O91" s="3" t="s">
        <v>450</v>
      </c>
      <c r="P91" s="3" t="s">
        <v>863</v>
      </c>
      <c r="Q91" s="10" t="s">
        <v>361</v>
      </c>
      <c r="R91" s="5"/>
    </row>
    <row r="92" spans="1:18" x14ac:dyDescent="0.55000000000000004">
      <c r="A92" s="2">
        <v>91</v>
      </c>
      <c r="B92" s="3" t="s">
        <v>864</v>
      </c>
      <c r="C92" s="2" t="s">
        <v>159</v>
      </c>
      <c r="D92" s="2" t="s">
        <v>160</v>
      </c>
      <c r="E92" s="2">
        <v>86</v>
      </c>
      <c r="F92" s="2"/>
      <c r="G92" s="2">
        <v>30</v>
      </c>
      <c r="H92" s="3" t="s">
        <v>865</v>
      </c>
      <c r="I92" s="3" t="s">
        <v>173</v>
      </c>
      <c r="J92" s="3" t="s">
        <v>866</v>
      </c>
      <c r="K92" s="3" t="s">
        <v>867</v>
      </c>
      <c r="L92" s="3" t="s">
        <v>868</v>
      </c>
      <c r="M92" s="3" t="s">
        <v>869</v>
      </c>
      <c r="N92" s="3" t="s">
        <v>870</v>
      </c>
      <c r="O92" s="3" t="s">
        <v>174</v>
      </c>
      <c r="P92" s="3" t="s">
        <v>871</v>
      </c>
      <c r="Q92" s="9" t="s">
        <v>221</v>
      </c>
      <c r="R92" s="5">
        <v>137</v>
      </c>
    </row>
    <row r="93" spans="1:18" x14ac:dyDescent="0.55000000000000004">
      <c r="A93" s="2">
        <v>92</v>
      </c>
      <c r="B93" s="3" t="s">
        <v>872</v>
      </c>
      <c r="C93" s="2" t="s">
        <v>160</v>
      </c>
      <c r="D93" s="2" t="s">
        <v>160</v>
      </c>
      <c r="E93" s="2">
        <v>78</v>
      </c>
      <c r="F93" s="2">
        <v>1.7</v>
      </c>
      <c r="G93" s="2">
        <v>29</v>
      </c>
      <c r="H93" s="3" t="s">
        <v>873</v>
      </c>
      <c r="I93" s="3" t="s">
        <v>264</v>
      </c>
      <c r="J93" s="3" t="s">
        <v>874</v>
      </c>
      <c r="K93" s="3" t="s">
        <v>875</v>
      </c>
      <c r="L93" s="3" t="s">
        <v>876</v>
      </c>
      <c r="M93" s="3" t="s">
        <v>877</v>
      </c>
      <c r="N93" s="3" t="s">
        <v>878</v>
      </c>
      <c r="O93" s="3" t="s">
        <v>270</v>
      </c>
      <c r="P93" s="3" t="s">
        <v>879</v>
      </c>
      <c r="Q93" s="9" t="s">
        <v>221</v>
      </c>
      <c r="R93" s="5">
        <v>12</v>
      </c>
    </row>
    <row r="94" spans="1:18" x14ac:dyDescent="0.55000000000000004">
      <c r="A94" s="2">
        <v>93</v>
      </c>
      <c r="B94" s="3" t="s">
        <v>880</v>
      </c>
      <c r="C94" s="2" t="s">
        <v>214</v>
      </c>
      <c r="D94" s="2" t="s">
        <v>160</v>
      </c>
      <c r="E94" s="2">
        <v>60</v>
      </c>
      <c r="F94" s="2">
        <v>1.65</v>
      </c>
      <c r="G94" s="2">
        <v>23</v>
      </c>
      <c r="H94" s="3" t="s">
        <v>881</v>
      </c>
      <c r="I94" s="3" t="s">
        <v>480</v>
      </c>
      <c r="J94" s="3" t="s">
        <v>882</v>
      </c>
      <c r="K94" s="3" t="s">
        <v>883</v>
      </c>
      <c r="L94" s="3" t="s">
        <v>884</v>
      </c>
      <c r="M94" s="3" t="s">
        <v>885</v>
      </c>
      <c r="N94" s="3" t="s">
        <v>886</v>
      </c>
      <c r="O94" s="3" t="s">
        <v>174</v>
      </c>
      <c r="P94" s="3" t="s">
        <v>887</v>
      </c>
      <c r="Q94" s="99" t="s">
        <v>180</v>
      </c>
      <c r="R94" s="5">
        <v>119</v>
      </c>
    </row>
    <row r="95" spans="1:18" x14ac:dyDescent="0.55000000000000004">
      <c r="A95" s="2">
        <v>94</v>
      </c>
      <c r="B95" s="3" t="s">
        <v>888</v>
      </c>
      <c r="C95" s="2" t="s">
        <v>160</v>
      </c>
      <c r="D95" s="2" t="s">
        <v>160</v>
      </c>
      <c r="E95" s="2">
        <v>68</v>
      </c>
      <c r="F95" s="2">
        <v>1.8</v>
      </c>
      <c r="G95" s="2">
        <v>26</v>
      </c>
      <c r="H95" s="3" t="s">
        <v>889</v>
      </c>
      <c r="I95" s="3" t="s">
        <v>183</v>
      </c>
      <c r="J95" s="3" t="s">
        <v>210</v>
      </c>
      <c r="K95" s="3" t="s">
        <v>890</v>
      </c>
      <c r="L95" s="3" t="s">
        <v>891</v>
      </c>
      <c r="M95" s="3" t="s">
        <v>380</v>
      </c>
      <c r="N95" s="3" t="s">
        <v>892</v>
      </c>
      <c r="O95" s="3" t="s">
        <v>893</v>
      </c>
      <c r="P95" s="3" t="s">
        <v>894</v>
      </c>
      <c r="Q95" s="10" t="s">
        <v>361</v>
      </c>
      <c r="R95" s="5"/>
    </row>
    <row r="96" spans="1:18" x14ac:dyDescent="0.55000000000000004">
      <c r="A96" s="2">
        <v>95</v>
      </c>
      <c r="B96" s="3" t="s">
        <v>895</v>
      </c>
      <c r="C96" s="2" t="s">
        <v>160</v>
      </c>
      <c r="D96" s="2" t="s">
        <v>193</v>
      </c>
      <c r="E96" s="2">
        <v>55</v>
      </c>
      <c r="F96" s="2">
        <v>1.48</v>
      </c>
      <c r="G96" s="2">
        <v>68</v>
      </c>
      <c r="H96" s="3" t="s">
        <v>896</v>
      </c>
      <c r="I96" s="3" t="s">
        <v>897</v>
      </c>
      <c r="J96" s="3" t="s">
        <v>898</v>
      </c>
      <c r="K96" s="3" t="s">
        <v>899</v>
      </c>
      <c r="L96" s="3" t="s">
        <v>900</v>
      </c>
      <c r="M96" s="3" t="s">
        <v>901</v>
      </c>
      <c r="N96" s="3" t="s">
        <v>902</v>
      </c>
      <c r="O96" s="3" t="s">
        <v>174</v>
      </c>
      <c r="P96" s="3" t="s">
        <v>903</v>
      </c>
      <c r="Q96" s="15" t="s">
        <v>320</v>
      </c>
      <c r="R96" s="5"/>
    </row>
    <row r="97" spans="1:18" x14ac:dyDescent="0.55000000000000004">
      <c r="A97" s="2">
        <v>96</v>
      </c>
      <c r="B97" s="3" t="s">
        <v>904</v>
      </c>
      <c r="C97" s="2" t="s">
        <v>160</v>
      </c>
      <c r="D97" s="2" t="s">
        <v>193</v>
      </c>
      <c r="E97" s="2">
        <v>72</v>
      </c>
      <c r="F97" s="2">
        <v>1.67</v>
      </c>
      <c r="G97" s="2">
        <v>27</v>
      </c>
      <c r="H97" s="3" t="s">
        <v>905</v>
      </c>
      <c r="I97" s="3" t="s">
        <v>173</v>
      </c>
      <c r="J97" s="3" t="s">
        <v>906</v>
      </c>
      <c r="K97" s="3" t="s">
        <v>907</v>
      </c>
      <c r="L97" s="3" t="s">
        <v>908</v>
      </c>
      <c r="M97" s="3" t="s">
        <v>909</v>
      </c>
      <c r="N97" s="3" t="s">
        <v>910</v>
      </c>
      <c r="O97" s="3" t="s">
        <v>174</v>
      </c>
      <c r="P97" s="3" t="s">
        <v>911</v>
      </c>
      <c r="Q97" s="9" t="s">
        <v>221</v>
      </c>
      <c r="R97" s="5"/>
    </row>
    <row r="98" spans="1:18" x14ac:dyDescent="0.55000000000000004">
      <c r="A98" s="2">
        <v>97</v>
      </c>
      <c r="B98" s="3" t="s">
        <v>912</v>
      </c>
      <c r="C98" s="2" t="s">
        <v>160</v>
      </c>
      <c r="D98" s="2" t="s">
        <v>193</v>
      </c>
      <c r="E98" s="2">
        <v>65</v>
      </c>
      <c r="F98" s="2">
        <v>1.66</v>
      </c>
      <c r="G98" s="2">
        <v>54</v>
      </c>
      <c r="H98" s="3" t="s">
        <v>913</v>
      </c>
      <c r="I98" s="3" t="s">
        <v>914</v>
      </c>
      <c r="J98" s="3" t="s">
        <v>210</v>
      </c>
      <c r="K98" s="3" t="s">
        <v>915</v>
      </c>
      <c r="L98" s="3" t="s">
        <v>916</v>
      </c>
      <c r="M98" s="3" t="s">
        <v>917</v>
      </c>
      <c r="N98" s="3" t="s">
        <v>918</v>
      </c>
      <c r="O98" s="3" t="s">
        <v>919</v>
      </c>
      <c r="P98" s="3" t="s">
        <v>920</v>
      </c>
      <c r="Q98" s="10" t="s">
        <v>361</v>
      </c>
      <c r="R98" s="5"/>
    </row>
    <row r="99" spans="1:18" x14ac:dyDescent="0.55000000000000004">
      <c r="A99" s="2">
        <v>98</v>
      </c>
      <c r="B99" s="3" t="s">
        <v>921</v>
      </c>
      <c r="C99" s="2" t="s">
        <v>214</v>
      </c>
      <c r="D99" s="2" t="s">
        <v>193</v>
      </c>
      <c r="E99" s="2">
        <v>62</v>
      </c>
      <c r="F99" s="2">
        <v>1.67</v>
      </c>
      <c r="G99" s="2">
        <v>21</v>
      </c>
      <c r="H99" s="3" t="s">
        <v>922</v>
      </c>
      <c r="I99" s="3" t="s">
        <v>307</v>
      </c>
      <c r="J99" s="3" t="s">
        <v>270</v>
      </c>
      <c r="K99" s="3" t="s">
        <v>923</v>
      </c>
      <c r="L99" s="3" t="s">
        <v>924</v>
      </c>
      <c r="M99" s="3" t="s">
        <v>73</v>
      </c>
      <c r="N99" s="3" t="s">
        <v>925</v>
      </c>
      <c r="O99" s="3" t="s">
        <v>270</v>
      </c>
      <c r="P99" s="3" t="s">
        <v>926</v>
      </c>
      <c r="Q99" s="10" t="s">
        <v>361</v>
      </c>
      <c r="R99" s="5"/>
    </row>
    <row r="100" spans="1:18" x14ac:dyDescent="0.55000000000000004">
      <c r="A100" s="2">
        <v>99</v>
      </c>
      <c r="B100" s="3" t="s">
        <v>927</v>
      </c>
      <c r="C100" s="2" t="s">
        <v>214</v>
      </c>
      <c r="D100" s="2" t="s">
        <v>193</v>
      </c>
      <c r="E100" s="2">
        <v>53</v>
      </c>
      <c r="F100" s="2">
        <v>1.6</v>
      </c>
      <c r="G100" s="2">
        <v>22</v>
      </c>
      <c r="H100" s="3" t="s">
        <v>928</v>
      </c>
      <c r="I100" s="3" t="s">
        <v>183</v>
      </c>
      <c r="J100" s="3" t="s">
        <v>174</v>
      </c>
      <c r="K100" s="3" t="s">
        <v>929</v>
      </c>
      <c r="L100" s="3" t="s">
        <v>930</v>
      </c>
      <c r="M100" s="3" t="s">
        <v>931</v>
      </c>
      <c r="N100" s="3" t="s">
        <v>932</v>
      </c>
      <c r="O100" s="3" t="s">
        <v>174</v>
      </c>
      <c r="P100" s="3" t="s">
        <v>933</v>
      </c>
      <c r="Q100" s="13" t="s">
        <v>191</v>
      </c>
      <c r="R100" s="5"/>
    </row>
    <row r="101" spans="1:18" x14ac:dyDescent="0.55000000000000004">
      <c r="A101" s="2">
        <v>100</v>
      </c>
      <c r="B101" s="3" t="s">
        <v>934</v>
      </c>
      <c r="C101" s="2" t="s">
        <v>159</v>
      </c>
      <c r="D101" s="2" t="s">
        <v>193</v>
      </c>
      <c r="E101" s="2">
        <v>75</v>
      </c>
      <c r="F101" s="2">
        <v>1.59</v>
      </c>
      <c r="G101" s="2">
        <v>62</v>
      </c>
      <c r="H101" s="3" t="s">
        <v>935</v>
      </c>
      <c r="I101" s="3" t="s">
        <v>183</v>
      </c>
      <c r="J101" s="3" t="s">
        <v>936</v>
      </c>
      <c r="K101" s="3" t="s">
        <v>185</v>
      </c>
      <c r="L101" s="3" t="s">
        <v>937</v>
      </c>
      <c r="M101" s="3" t="s">
        <v>187</v>
      </c>
      <c r="N101" s="3" t="s">
        <v>188</v>
      </c>
      <c r="O101" s="3" t="s">
        <v>938</v>
      </c>
      <c r="P101" s="3" t="s">
        <v>939</v>
      </c>
      <c r="Q101" s="100" t="s">
        <v>246</v>
      </c>
      <c r="R101" s="5">
        <v>3</v>
      </c>
    </row>
    <row r="102" spans="1:18" x14ac:dyDescent="0.55000000000000004">
      <c r="A102" s="2">
        <v>101</v>
      </c>
      <c r="B102" s="3" t="s">
        <v>940</v>
      </c>
      <c r="C102" s="2" t="s">
        <v>214</v>
      </c>
      <c r="D102" s="2" t="s">
        <v>193</v>
      </c>
      <c r="E102" s="2">
        <v>60</v>
      </c>
      <c r="F102" s="2">
        <v>1.68</v>
      </c>
      <c r="G102" s="2">
        <v>34</v>
      </c>
      <c r="H102" s="3" t="s">
        <v>941</v>
      </c>
      <c r="I102" s="3" t="s">
        <v>183</v>
      </c>
      <c r="J102" s="3" t="s">
        <v>942</v>
      </c>
      <c r="K102" s="3" t="s">
        <v>943</v>
      </c>
      <c r="L102" s="3" t="s">
        <v>944</v>
      </c>
      <c r="M102" s="3" t="s">
        <v>945</v>
      </c>
      <c r="N102" s="3" t="s">
        <v>946</v>
      </c>
      <c r="O102" s="3" t="s">
        <v>947</v>
      </c>
      <c r="P102" s="3" t="s">
        <v>948</v>
      </c>
      <c r="Q102" s="16" t="s">
        <v>202</v>
      </c>
      <c r="R102" s="5"/>
    </row>
    <row r="103" spans="1:18" x14ac:dyDescent="0.55000000000000004">
      <c r="A103" s="2">
        <v>102</v>
      </c>
      <c r="B103" s="3" t="s">
        <v>949</v>
      </c>
      <c r="C103" s="2" t="s">
        <v>160</v>
      </c>
      <c r="D103" s="2" t="s">
        <v>193</v>
      </c>
      <c r="E103" s="2">
        <v>65</v>
      </c>
      <c r="F103" s="2">
        <v>1.65</v>
      </c>
      <c r="G103" s="2">
        <v>49</v>
      </c>
      <c r="H103" s="3" t="s">
        <v>950</v>
      </c>
      <c r="I103" s="3" t="s">
        <v>951</v>
      </c>
      <c r="J103" s="3" t="s">
        <v>952</v>
      </c>
      <c r="K103" s="3" t="s">
        <v>953</v>
      </c>
      <c r="L103" s="3" t="s">
        <v>954</v>
      </c>
      <c r="M103" s="3" t="s">
        <v>955</v>
      </c>
      <c r="N103" s="3" t="s">
        <v>956</v>
      </c>
      <c r="O103" s="3" t="s">
        <v>210</v>
      </c>
      <c r="P103" s="3" t="s">
        <v>957</v>
      </c>
      <c r="Q103" s="16" t="s">
        <v>202</v>
      </c>
      <c r="R103" s="5"/>
    </row>
    <row r="104" spans="1:18" x14ac:dyDescent="0.55000000000000004">
      <c r="A104" s="2">
        <v>103</v>
      </c>
      <c r="B104" s="3" t="s">
        <v>958</v>
      </c>
      <c r="C104" s="2" t="s">
        <v>160</v>
      </c>
      <c r="D104" s="2" t="s">
        <v>160</v>
      </c>
      <c r="E104" s="2">
        <v>55</v>
      </c>
      <c r="F104" s="2">
        <v>1.68</v>
      </c>
      <c r="G104" s="2">
        <v>44</v>
      </c>
      <c r="H104" s="3" t="s">
        <v>959</v>
      </c>
      <c r="I104" s="3" t="s">
        <v>914</v>
      </c>
      <c r="J104" s="3" t="s">
        <v>960</v>
      </c>
      <c r="K104" s="3" t="s">
        <v>961</v>
      </c>
      <c r="L104" s="3" t="s">
        <v>962</v>
      </c>
      <c r="M104" s="3" t="s">
        <v>963</v>
      </c>
      <c r="N104" s="3" t="s">
        <v>964</v>
      </c>
      <c r="O104" s="3" t="s">
        <v>450</v>
      </c>
      <c r="P104" s="3" t="s">
        <v>965</v>
      </c>
      <c r="Q104" s="15" t="s">
        <v>320</v>
      </c>
      <c r="R104" s="5"/>
    </row>
    <row r="105" spans="1:18" x14ac:dyDescent="0.55000000000000004">
      <c r="A105" s="2">
        <v>104</v>
      </c>
      <c r="B105" s="3" t="s">
        <v>966</v>
      </c>
      <c r="C105" s="2" t="s">
        <v>160</v>
      </c>
      <c r="D105" s="2" t="s">
        <v>193</v>
      </c>
      <c r="E105" s="2">
        <v>77</v>
      </c>
      <c r="F105" s="2">
        <v>1.64</v>
      </c>
      <c r="G105" s="2">
        <v>20</v>
      </c>
      <c r="H105" s="3" t="s">
        <v>967</v>
      </c>
      <c r="I105" s="3" t="s">
        <v>183</v>
      </c>
      <c r="J105" s="3" t="s">
        <v>174</v>
      </c>
      <c r="K105" s="3" t="s">
        <v>968</v>
      </c>
      <c r="L105" s="3" t="s">
        <v>969</v>
      </c>
      <c r="M105" s="3" t="s">
        <v>970</v>
      </c>
      <c r="N105" s="3" t="s">
        <v>971</v>
      </c>
      <c r="O105" s="3" t="s">
        <v>174</v>
      </c>
      <c r="P105" s="3" t="s">
        <v>972</v>
      </c>
      <c r="Q105" s="100" t="s">
        <v>246</v>
      </c>
      <c r="R105" s="5"/>
    </row>
    <row r="106" spans="1:18" x14ac:dyDescent="0.55000000000000004">
      <c r="A106" s="2">
        <v>105</v>
      </c>
      <c r="B106" s="3" t="s">
        <v>973</v>
      </c>
      <c r="C106" s="2" t="s">
        <v>159</v>
      </c>
      <c r="D106" s="2" t="s">
        <v>193</v>
      </c>
      <c r="E106" s="2">
        <v>95</v>
      </c>
      <c r="F106" s="2">
        <v>1.63</v>
      </c>
      <c r="G106" s="2">
        <v>33</v>
      </c>
      <c r="H106" s="3" t="s">
        <v>974</v>
      </c>
      <c r="I106" s="3" t="s">
        <v>975</v>
      </c>
      <c r="J106" s="3" t="s">
        <v>210</v>
      </c>
      <c r="K106" s="3" t="s">
        <v>976</v>
      </c>
      <c r="L106" s="3" t="s">
        <v>977</v>
      </c>
      <c r="M106" s="3" t="s">
        <v>978</v>
      </c>
      <c r="N106" s="3" t="s">
        <v>979</v>
      </c>
      <c r="O106" s="3" t="s">
        <v>980</v>
      </c>
      <c r="P106" s="3" t="s">
        <v>981</v>
      </c>
      <c r="Q106" s="9" t="s">
        <v>221</v>
      </c>
      <c r="R106" s="5">
        <v>21</v>
      </c>
    </row>
    <row r="107" spans="1:18" x14ac:dyDescent="0.55000000000000004">
      <c r="A107" s="2">
        <v>106</v>
      </c>
      <c r="B107" s="3" t="s">
        <v>982</v>
      </c>
      <c r="C107" s="2" t="s">
        <v>160</v>
      </c>
      <c r="D107" s="2" t="s">
        <v>193</v>
      </c>
      <c r="E107" s="2">
        <v>74</v>
      </c>
      <c r="F107" s="2">
        <v>1.62</v>
      </c>
      <c r="G107" s="2">
        <v>51</v>
      </c>
      <c r="H107" s="3" t="s">
        <v>983</v>
      </c>
      <c r="I107" s="3" t="s">
        <v>505</v>
      </c>
      <c r="J107" s="3" t="s">
        <v>174</v>
      </c>
      <c r="K107" s="3" t="s">
        <v>984</v>
      </c>
      <c r="L107" s="3" t="s">
        <v>985</v>
      </c>
      <c r="M107" s="3" t="s">
        <v>986</v>
      </c>
      <c r="N107" s="3" t="s">
        <v>987</v>
      </c>
      <c r="O107" s="3" t="s">
        <v>174</v>
      </c>
      <c r="P107" s="3" t="s">
        <v>988</v>
      </c>
      <c r="Q107" s="16" t="s">
        <v>202</v>
      </c>
      <c r="R107" s="5"/>
    </row>
    <row r="108" spans="1:18" x14ac:dyDescent="0.55000000000000004">
      <c r="A108" s="2">
        <v>107</v>
      </c>
      <c r="B108" s="3" t="s">
        <v>989</v>
      </c>
      <c r="C108" s="2" t="s">
        <v>159</v>
      </c>
      <c r="D108" s="2" t="s">
        <v>160</v>
      </c>
      <c r="E108" s="2"/>
      <c r="F108" s="2"/>
      <c r="G108" s="2">
        <v>57</v>
      </c>
      <c r="H108" s="3" t="s">
        <v>990</v>
      </c>
      <c r="I108" s="3" t="s">
        <v>480</v>
      </c>
      <c r="J108" s="3" t="s">
        <v>174</v>
      </c>
      <c r="K108" s="3" t="s">
        <v>484</v>
      </c>
      <c r="L108" s="3" t="s">
        <v>485</v>
      </c>
      <c r="M108" s="3" t="s">
        <v>991</v>
      </c>
      <c r="N108" s="3" t="s">
        <v>992</v>
      </c>
      <c r="O108" s="3" t="s">
        <v>270</v>
      </c>
      <c r="P108" s="3" t="s">
        <v>993</v>
      </c>
      <c r="Q108" s="15" t="s">
        <v>320</v>
      </c>
      <c r="R108" s="5"/>
    </row>
    <row r="109" spans="1:18" x14ac:dyDescent="0.55000000000000004">
      <c r="A109" s="2">
        <v>108</v>
      </c>
      <c r="B109" s="3" t="s">
        <v>994</v>
      </c>
      <c r="C109" s="2" t="s">
        <v>160</v>
      </c>
      <c r="D109" s="2" t="s">
        <v>160</v>
      </c>
      <c r="E109" s="2">
        <v>80</v>
      </c>
      <c r="F109" s="2">
        <v>1.7</v>
      </c>
      <c r="G109" s="2">
        <v>37</v>
      </c>
      <c r="H109" s="3" t="s">
        <v>995</v>
      </c>
      <c r="I109" s="3" t="s">
        <v>757</v>
      </c>
      <c r="J109" s="3" t="s">
        <v>174</v>
      </c>
      <c r="K109" s="3" t="s">
        <v>996</v>
      </c>
      <c r="L109" s="3" t="s">
        <v>997</v>
      </c>
      <c r="M109" s="3" t="s">
        <v>996</v>
      </c>
      <c r="N109" s="3" t="s">
        <v>998</v>
      </c>
      <c r="O109" s="3" t="s">
        <v>270</v>
      </c>
      <c r="P109" s="3" t="s">
        <v>999</v>
      </c>
      <c r="Q109" s="15" t="s">
        <v>320</v>
      </c>
      <c r="R109" s="5"/>
    </row>
    <row r="110" spans="1:18" x14ac:dyDescent="0.55000000000000004">
      <c r="A110" s="2">
        <v>109</v>
      </c>
      <c r="B110" s="3" t="s">
        <v>1000</v>
      </c>
      <c r="C110" s="2" t="s">
        <v>322</v>
      </c>
      <c r="D110" s="2" t="s">
        <v>193</v>
      </c>
      <c r="E110" s="2">
        <v>104</v>
      </c>
      <c r="F110" s="2">
        <v>1.76</v>
      </c>
      <c r="G110" s="2">
        <v>22</v>
      </c>
      <c r="H110" s="3" t="s">
        <v>1001</v>
      </c>
      <c r="I110" s="3" t="s">
        <v>183</v>
      </c>
      <c r="J110" s="3" t="s">
        <v>174</v>
      </c>
      <c r="K110" s="3" t="s">
        <v>1002</v>
      </c>
      <c r="L110" s="3" t="s">
        <v>1003</v>
      </c>
      <c r="M110" s="3" t="s">
        <v>1004</v>
      </c>
      <c r="N110" s="3" t="s">
        <v>1005</v>
      </c>
      <c r="O110" s="3" t="s">
        <v>174</v>
      </c>
      <c r="P110" s="3" t="s">
        <v>1006</v>
      </c>
      <c r="Q110" s="99" t="s">
        <v>180</v>
      </c>
      <c r="R110" s="5"/>
    </row>
    <row r="111" spans="1:18" x14ac:dyDescent="0.55000000000000004">
      <c r="A111" s="2">
        <v>110</v>
      </c>
      <c r="B111" s="3" t="s">
        <v>1007</v>
      </c>
      <c r="C111" s="2" t="s">
        <v>646</v>
      </c>
      <c r="D111" s="2" t="s">
        <v>193</v>
      </c>
      <c r="E111" s="2">
        <v>60</v>
      </c>
      <c r="F111" s="2">
        <v>1.67</v>
      </c>
      <c r="G111" s="2">
        <v>34</v>
      </c>
      <c r="H111" s="3" t="s">
        <v>1008</v>
      </c>
      <c r="I111" s="3" t="s">
        <v>1009</v>
      </c>
      <c r="J111" s="3" t="s">
        <v>210</v>
      </c>
      <c r="K111" s="3" t="s">
        <v>1010</v>
      </c>
      <c r="L111" s="3" t="s">
        <v>1011</v>
      </c>
      <c r="M111" s="3" t="s">
        <v>1012</v>
      </c>
      <c r="N111" s="3" t="s">
        <v>1013</v>
      </c>
      <c r="O111" s="3" t="s">
        <v>1014</v>
      </c>
      <c r="P111" s="3" t="s">
        <v>1015</v>
      </c>
      <c r="Q111" s="16" t="s">
        <v>202</v>
      </c>
      <c r="R111" s="5"/>
    </row>
    <row r="112" spans="1:18" x14ac:dyDescent="0.55000000000000004">
      <c r="A112" s="2">
        <v>111</v>
      </c>
      <c r="B112" s="3" t="s">
        <v>1016</v>
      </c>
      <c r="C112" s="2" t="s">
        <v>160</v>
      </c>
      <c r="D112" s="2" t="s">
        <v>160</v>
      </c>
      <c r="E112" s="2">
        <v>83</v>
      </c>
      <c r="F112" s="2">
        <v>1.72</v>
      </c>
      <c r="G112" s="2">
        <v>63</v>
      </c>
      <c r="H112" s="3" t="s">
        <v>1017</v>
      </c>
      <c r="I112" s="3" t="s">
        <v>505</v>
      </c>
      <c r="J112" s="3" t="s">
        <v>1018</v>
      </c>
      <c r="K112" s="3" t="s">
        <v>482</v>
      </c>
      <c r="L112" s="3" t="s">
        <v>483</v>
      </c>
      <c r="M112" s="3" t="s">
        <v>507</v>
      </c>
      <c r="N112" s="3" t="s">
        <v>1019</v>
      </c>
      <c r="O112" s="3" t="s">
        <v>174</v>
      </c>
      <c r="P112" s="3" t="s">
        <v>1020</v>
      </c>
      <c r="Q112" s="99" t="s">
        <v>180</v>
      </c>
      <c r="R112" s="5"/>
    </row>
    <row r="113" spans="1:18" x14ac:dyDescent="0.55000000000000004">
      <c r="A113" s="2">
        <v>112</v>
      </c>
      <c r="B113" s="3" t="s">
        <v>1021</v>
      </c>
      <c r="C113" s="2" t="s">
        <v>159</v>
      </c>
      <c r="D113" s="2" t="s">
        <v>160</v>
      </c>
      <c r="E113" s="2">
        <v>83</v>
      </c>
      <c r="F113" s="2">
        <v>1.81</v>
      </c>
      <c r="G113" s="2">
        <v>30</v>
      </c>
      <c r="H113" s="3" t="s">
        <v>1022</v>
      </c>
      <c r="I113" s="3" t="s">
        <v>173</v>
      </c>
      <c r="J113" s="3" t="s">
        <v>1023</v>
      </c>
      <c r="K113" s="3" t="s">
        <v>1024</v>
      </c>
      <c r="L113" s="3" t="s">
        <v>1025</v>
      </c>
      <c r="M113" s="3" t="s">
        <v>1026</v>
      </c>
      <c r="N113" s="3" t="s">
        <v>1027</v>
      </c>
      <c r="O113" s="3" t="s">
        <v>441</v>
      </c>
      <c r="P113" s="3" t="s">
        <v>1028</v>
      </c>
      <c r="Q113" s="4" t="s">
        <v>212</v>
      </c>
      <c r="R113" s="5"/>
    </row>
    <row r="114" spans="1:18" x14ac:dyDescent="0.55000000000000004">
      <c r="A114" s="2">
        <v>113</v>
      </c>
      <c r="B114" s="3" t="s">
        <v>1029</v>
      </c>
      <c r="C114" s="2" t="s">
        <v>159</v>
      </c>
      <c r="D114" s="2" t="s">
        <v>160</v>
      </c>
      <c r="E114" s="2">
        <v>80</v>
      </c>
      <c r="F114" s="2">
        <v>1.71</v>
      </c>
      <c r="G114" s="2">
        <v>32</v>
      </c>
      <c r="H114" s="3" t="s">
        <v>1030</v>
      </c>
      <c r="I114" s="3" t="s">
        <v>183</v>
      </c>
      <c r="J114" s="3" t="s">
        <v>174</v>
      </c>
      <c r="K114" s="3" t="s">
        <v>1031</v>
      </c>
      <c r="L114" s="3" t="s">
        <v>1032</v>
      </c>
      <c r="M114" s="3" t="s">
        <v>1033</v>
      </c>
      <c r="N114" s="3" t="s">
        <v>1033</v>
      </c>
      <c r="O114" s="3" t="s">
        <v>174</v>
      </c>
      <c r="P114" s="3" t="s">
        <v>1034</v>
      </c>
      <c r="Q114" s="16" t="s">
        <v>202</v>
      </c>
      <c r="R114" s="5"/>
    </row>
    <row r="115" spans="1:18" x14ac:dyDescent="0.55000000000000004">
      <c r="A115" s="2">
        <v>114</v>
      </c>
      <c r="B115" s="3" t="s">
        <v>1035</v>
      </c>
      <c r="C115" s="2" t="s">
        <v>159</v>
      </c>
      <c r="D115" s="2" t="s">
        <v>160</v>
      </c>
      <c r="E115" s="2">
        <v>85</v>
      </c>
      <c r="F115" s="2">
        <v>1.75</v>
      </c>
      <c r="G115" s="2">
        <v>24</v>
      </c>
      <c r="H115" s="3" t="s">
        <v>1036</v>
      </c>
      <c r="I115" s="3" t="s">
        <v>183</v>
      </c>
      <c r="J115" s="3" t="s">
        <v>210</v>
      </c>
      <c r="K115" s="3" t="s">
        <v>1037</v>
      </c>
      <c r="L115" s="3" t="s">
        <v>1038</v>
      </c>
      <c r="M115" s="3" t="s">
        <v>1037</v>
      </c>
      <c r="N115" s="3" t="s">
        <v>1038</v>
      </c>
      <c r="O115" s="3" t="s">
        <v>210</v>
      </c>
      <c r="P115" s="3" t="s">
        <v>1039</v>
      </c>
      <c r="Q115" s="4" t="s">
        <v>212</v>
      </c>
      <c r="R115" s="5"/>
    </row>
    <row r="116" spans="1:18" x14ac:dyDescent="0.55000000000000004">
      <c r="A116" s="2">
        <v>115</v>
      </c>
      <c r="B116" s="3" t="s">
        <v>1040</v>
      </c>
      <c r="C116" s="2" t="s">
        <v>322</v>
      </c>
      <c r="D116" s="2" t="s">
        <v>160</v>
      </c>
      <c r="E116" s="2">
        <v>94</v>
      </c>
      <c r="F116" s="2">
        <v>1.8</v>
      </c>
      <c r="G116" s="2">
        <v>22</v>
      </c>
      <c r="H116" s="3" t="s">
        <v>1041</v>
      </c>
      <c r="I116" s="3" t="s">
        <v>183</v>
      </c>
      <c r="J116" s="3" t="s">
        <v>174</v>
      </c>
      <c r="K116" s="3" t="s">
        <v>1042</v>
      </c>
      <c r="L116" s="3" t="s">
        <v>1043</v>
      </c>
      <c r="M116" s="3" t="s">
        <v>1044</v>
      </c>
      <c r="N116" s="3" t="s">
        <v>1045</v>
      </c>
      <c r="O116" s="3" t="s">
        <v>1046</v>
      </c>
      <c r="P116" s="3" t="s">
        <v>1047</v>
      </c>
      <c r="Q116" s="14" t="s">
        <v>170</v>
      </c>
      <c r="R116" s="5"/>
    </row>
    <row r="117" spans="1:18" x14ac:dyDescent="0.55000000000000004">
      <c r="A117" s="2">
        <v>116</v>
      </c>
      <c r="B117" s="3" t="s">
        <v>1048</v>
      </c>
      <c r="C117" s="2" t="s">
        <v>160</v>
      </c>
      <c r="D117" s="2" t="s">
        <v>160</v>
      </c>
      <c r="E117" s="2">
        <v>81</v>
      </c>
      <c r="F117" s="2">
        <v>1.8</v>
      </c>
      <c r="G117" s="2">
        <v>46</v>
      </c>
      <c r="H117" s="3" t="s">
        <v>1049</v>
      </c>
      <c r="I117" s="3" t="s">
        <v>1050</v>
      </c>
      <c r="J117" s="3" t="s">
        <v>270</v>
      </c>
      <c r="K117" s="3" t="s">
        <v>1051</v>
      </c>
      <c r="L117" s="3" t="s">
        <v>1052</v>
      </c>
      <c r="M117" s="3" t="s">
        <v>1053</v>
      </c>
      <c r="N117" s="3" t="s">
        <v>1054</v>
      </c>
      <c r="O117" s="3" t="s">
        <v>270</v>
      </c>
      <c r="P117" s="3" t="s">
        <v>1055</v>
      </c>
      <c r="Q117" s="16" t="s">
        <v>202</v>
      </c>
      <c r="R117" s="5"/>
    </row>
    <row r="118" spans="1:18" x14ac:dyDescent="0.55000000000000004">
      <c r="A118" s="2">
        <v>117</v>
      </c>
      <c r="B118" s="3" t="s">
        <v>1056</v>
      </c>
      <c r="C118" s="2" t="s">
        <v>214</v>
      </c>
      <c r="D118" s="2" t="s">
        <v>193</v>
      </c>
      <c r="E118" s="2">
        <v>53</v>
      </c>
      <c r="F118" s="2">
        <v>1.6</v>
      </c>
      <c r="G118" s="2">
        <v>41</v>
      </c>
      <c r="H118" s="3" t="s">
        <v>1057</v>
      </c>
      <c r="I118" s="3" t="s">
        <v>183</v>
      </c>
      <c r="J118" s="3" t="s">
        <v>1058</v>
      </c>
      <c r="K118" s="3" t="s">
        <v>387</v>
      </c>
      <c r="L118" s="3" t="s">
        <v>388</v>
      </c>
      <c r="M118" s="3" t="s">
        <v>389</v>
      </c>
      <c r="N118" s="3" t="s">
        <v>390</v>
      </c>
      <c r="O118" s="3" t="s">
        <v>1059</v>
      </c>
      <c r="P118" s="3" t="s">
        <v>1060</v>
      </c>
      <c r="Q118" s="4" t="s">
        <v>212</v>
      </c>
      <c r="R118" s="5"/>
    </row>
    <row r="119" spans="1:18" x14ac:dyDescent="0.55000000000000004">
      <c r="A119" s="2">
        <v>118</v>
      </c>
      <c r="B119" s="3" t="s">
        <v>1061</v>
      </c>
      <c r="C119" s="2" t="s">
        <v>160</v>
      </c>
      <c r="D119" s="2" t="s">
        <v>193</v>
      </c>
      <c r="E119" s="2">
        <v>66</v>
      </c>
      <c r="F119" s="2">
        <v>1.64</v>
      </c>
      <c r="G119" s="2">
        <v>33</v>
      </c>
      <c r="H119" s="3" t="s">
        <v>1062</v>
      </c>
      <c r="I119" s="3" t="s">
        <v>183</v>
      </c>
      <c r="J119" s="3" t="s">
        <v>1063</v>
      </c>
      <c r="K119" s="3" t="s">
        <v>1064</v>
      </c>
      <c r="L119" s="3" t="s">
        <v>1065</v>
      </c>
      <c r="M119" s="3" t="s">
        <v>1066</v>
      </c>
      <c r="N119" s="3" t="s">
        <v>1067</v>
      </c>
      <c r="O119" s="3" t="s">
        <v>1068</v>
      </c>
      <c r="P119" s="3" t="s">
        <v>1069</v>
      </c>
      <c r="Q119" s="15" t="s">
        <v>320</v>
      </c>
      <c r="R119" s="5"/>
    </row>
    <row r="120" spans="1:18" x14ac:dyDescent="0.55000000000000004">
      <c r="A120" s="2">
        <v>119</v>
      </c>
      <c r="B120" s="3" t="s">
        <v>1070</v>
      </c>
      <c r="C120" s="2" t="s">
        <v>214</v>
      </c>
      <c r="D120" s="2" t="s">
        <v>193</v>
      </c>
      <c r="E120" s="2">
        <v>65</v>
      </c>
      <c r="F120" s="2">
        <v>1.63</v>
      </c>
      <c r="G120" s="2">
        <v>24</v>
      </c>
      <c r="H120" s="3" t="s">
        <v>1071</v>
      </c>
      <c r="I120" s="3" t="s">
        <v>480</v>
      </c>
      <c r="J120" s="3" t="s">
        <v>1072</v>
      </c>
      <c r="K120" s="3" t="s">
        <v>1073</v>
      </c>
      <c r="L120" s="3" t="s">
        <v>1074</v>
      </c>
      <c r="M120" s="3" t="s">
        <v>1075</v>
      </c>
      <c r="N120" s="3" t="s">
        <v>1076</v>
      </c>
      <c r="O120" s="3" t="s">
        <v>1077</v>
      </c>
      <c r="P120" s="3" t="s">
        <v>1078</v>
      </c>
      <c r="Q120" s="15" t="s">
        <v>320</v>
      </c>
      <c r="R120" s="5">
        <v>93</v>
      </c>
    </row>
    <row r="121" spans="1:18" x14ac:dyDescent="0.55000000000000004">
      <c r="A121" s="2">
        <v>120</v>
      </c>
      <c r="B121" s="3" t="s">
        <v>1079</v>
      </c>
      <c r="C121" s="2" t="s">
        <v>549</v>
      </c>
      <c r="D121" s="2" t="s">
        <v>160</v>
      </c>
      <c r="E121" s="2">
        <v>118</v>
      </c>
      <c r="F121" s="2">
        <v>1.79</v>
      </c>
      <c r="G121" s="2">
        <v>33</v>
      </c>
      <c r="H121" s="3" t="s">
        <v>290</v>
      </c>
      <c r="I121" s="3" t="s">
        <v>291</v>
      </c>
      <c r="J121" s="3" t="s">
        <v>1080</v>
      </c>
      <c r="K121" s="3" t="s">
        <v>293</v>
      </c>
      <c r="L121" s="3" t="s">
        <v>1081</v>
      </c>
      <c r="M121" s="3" t="s">
        <v>1082</v>
      </c>
      <c r="N121" s="3" t="s">
        <v>296</v>
      </c>
      <c r="O121" s="3" t="s">
        <v>174</v>
      </c>
      <c r="P121" s="3" t="s">
        <v>297</v>
      </c>
      <c r="Q121" s="13" t="s">
        <v>191</v>
      </c>
      <c r="R121" s="5"/>
    </row>
    <row r="122" spans="1:18" x14ac:dyDescent="0.55000000000000004">
      <c r="A122" s="2">
        <v>121</v>
      </c>
      <c r="B122" s="3" t="s">
        <v>1083</v>
      </c>
      <c r="C122" s="2" t="s">
        <v>159</v>
      </c>
      <c r="D122" s="2" t="s">
        <v>160</v>
      </c>
      <c r="E122" s="2">
        <v>98</v>
      </c>
      <c r="F122" s="2">
        <v>1.83</v>
      </c>
      <c r="G122" s="2">
        <v>22</v>
      </c>
      <c r="H122" s="3" t="s">
        <v>1084</v>
      </c>
      <c r="I122" s="3" t="s">
        <v>468</v>
      </c>
      <c r="J122" s="3" t="s">
        <v>1085</v>
      </c>
      <c r="K122" s="3" t="s">
        <v>1086</v>
      </c>
      <c r="L122" s="3" t="s">
        <v>1087</v>
      </c>
      <c r="M122" s="3" t="s">
        <v>1088</v>
      </c>
      <c r="N122" s="3" t="s">
        <v>1089</v>
      </c>
      <c r="O122" s="3" t="s">
        <v>450</v>
      </c>
      <c r="P122" s="3" t="s">
        <v>1090</v>
      </c>
      <c r="Q122" s="16" t="s">
        <v>202</v>
      </c>
      <c r="R122" s="5"/>
    </row>
    <row r="123" spans="1:18" x14ac:dyDescent="0.55000000000000004">
      <c r="A123" s="2">
        <v>122</v>
      </c>
      <c r="B123" s="3" t="s">
        <v>1091</v>
      </c>
      <c r="C123" s="2" t="s">
        <v>159</v>
      </c>
      <c r="D123" s="2" t="s">
        <v>160</v>
      </c>
      <c r="E123" s="2">
        <v>83</v>
      </c>
      <c r="F123" s="2"/>
      <c r="G123" s="2">
        <v>46</v>
      </c>
      <c r="H123" s="3" t="s">
        <v>1092</v>
      </c>
      <c r="I123" s="3" t="s">
        <v>183</v>
      </c>
      <c r="J123" s="3" t="s">
        <v>1093</v>
      </c>
      <c r="K123" s="3" t="s">
        <v>1094</v>
      </c>
      <c r="L123" s="3" t="s">
        <v>1095</v>
      </c>
      <c r="M123" s="3" t="s">
        <v>1096</v>
      </c>
      <c r="N123" s="3" t="s">
        <v>1095</v>
      </c>
      <c r="O123" s="3" t="s">
        <v>174</v>
      </c>
      <c r="P123" s="3" t="s">
        <v>1097</v>
      </c>
      <c r="Q123" s="10" t="s">
        <v>361</v>
      </c>
      <c r="R123" s="5"/>
    </row>
    <row r="124" spans="1:18" x14ac:dyDescent="0.55000000000000004">
      <c r="A124" s="2">
        <v>123</v>
      </c>
      <c r="B124" s="3" t="s">
        <v>1098</v>
      </c>
      <c r="C124" s="2" t="s">
        <v>160</v>
      </c>
      <c r="D124" s="2" t="s">
        <v>193</v>
      </c>
      <c r="E124" s="2">
        <v>56</v>
      </c>
      <c r="F124" s="2">
        <v>1.57</v>
      </c>
      <c r="G124" s="2">
        <v>26</v>
      </c>
      <c r="H124" s="3" t="s">
        <v>1099</v>
      </c>
      <c r="I124" s="3" t="s">
        <v>183</v>
      </c>
      <c r="J124" s="3" t="s">
        <v>1100</v>
      </c>
      <c r="K124" s="3" t="s">
        <v>1101</v>
      </c>
      <c r="L124" s="3" t="s">
        <v>461</v>
      </c>
      <c r="M124" s="3" t="s">
        <v>1102</v>
      </c>
      <c r="N124" s="3" t="s">
        <v>1103</v>
      </c>
      <c r="O124" s="3" t="s">
        <v>1104</v>
      </c>
      <c r="P124" s="3" t="s">
        <v>1105</v>
      </c>
      <c r="Q124" s="14" t="s">
        <v>170</v>
      </c>
      <c r="R124" s="5"/>
    </row>
    <row r="125" spans="1:18" x14ac:dyDescent="0.55000000000000004">
      <c r="A125" s="2">
        <v>124</v>
      </c>
      <c r="B125" s="3" t="s">
        <v>1106</v>
      </c>
      <c r="C125" s="2" t="s">
        <v>160</v>
      </c>
      <c r="D125" s="2" t="s">
        <v>193</v>
      </c>
      <c r="E125" s="2"/>
      <c r="F125" s="2">
        <v>1.59</v>
      </c>
      <c r="G125" s="2">
        <v>53</v>
      </c>
      <c r="H125" s="3" t="s">
        <v>1107</v>
      </c>
      <c r="I125" s="3" t="s">
        <v>183</v>
      </c>
      <c r="J125" s="3" t="s">
        <v>1108</v>
      </c>
      <c r="K125" s="3" t="s">
        <v>1109</v>
      </c>
      <c r="L125" s="3" t="s">
        <v>1110</v>
      </c>
      <c r="M125" s="3" t="s">
        <v>1111</v>
      </c>
      <c r="N125" s="3" t="s">
        <v>1112</v>
      </c>
      <c r="O125" s="3" t="s">
        <v>1113</v>
      </c>
      <c r="P125" s="3" t="s">
        <v>1114</v>
      </c>
      <c r="Q125" s="13" t="s">
        <v>191</v>
      </c>
      <c r="R125" s="5"/>
    </row>
    <row r="126" spans="1:18" x14ac:dyDescent="0.55000000000000004">
      <c r="A126" s="2">
        <v>125</v>
      </c>
      <c r="B126" s="3" t="s">
        <v>1115</v>
      </c>
      <c r="C126" s="2" t="s">
        <v>160</v>
      </c>
      <c r="D126" s="2" t="s">
        <v>193</v>
      </c>
      <c r="E126" s="2">
        <v>68</v>
      </c>
      <c r="F126" s="2"/>
      <c r="G126" s="2">
        <v>40</v>
      </c>
      <c r="H126" s="3" t="s">
        <v>1116</v>
      </c>
      <c r="I126" s="3" t="s">
        <v>183</v>
      </c>
      <c r="J126" s="3" t="s">
        <v>174</v>
      </c>
      <c r="K126" s="3" t="s">
        <v>1117</v>
      </c>
      <c r="L126" s="3" t="s">
        <v>1118</v>
      </c>
      <c r="M126" s="3" t="s">
        <v>1119</v>
      </c>
      <c r="N126" s="3" t="s">
        <v>1120</v>
      </c>
      <c r="O126" s="3" t="s">
        <v>1121</v>
      </c>
      <c r="P126" s="3" t="s">
        <v>1122</v>
      </c>
      <c r="Q126" s="13" t="s">
        <v>191</v>
      </c>
      <c r="R126" s="5"/>
    </row>
    <row r="127" spans="1:18" x14ac:dyDescent="0.55000000000000004">
      <c r="A127" s="2">
        <v>126</v>
      </c>
      <c r="B127" s="3" t="s">
        <v>1123</v>
      </c>
      <c r="C127" s="2" t="s">
        <v>160</v>
      </c>
      <c r="D127" s="2" t="s">
        <v>193</v>
      </c>
      <c r="E127" s="2">
        <v>60</v>
      </c>
      <c r="F127" s="2">
        <v>1.65</v>
      </c>
      <c r="G127" s="2">
        <v>31</v>
      </c>
      <c r="H127" s="3" t="s">
        <v>1124</v>
      </c>
      <c r="I127" s="3" t="s">
        <v>183</v>
      </c>
      <c r="J127" s="3" t="s">
        <v>174</v>
      </c>
      <c r="K127" s="3" t="s">
        <v>1125</v>
      </c>
      <c r="L127" s="3" t="s">
        <v>1126</v>
      </c>
      <c r="M127" s="3" t="s">
        <v>1127</v>
      </c>
      <c r="N127" s="3" t="s">
        <v>1128</v>
      </c>
      <c r="O127" s="3" t="s">
        <v>174</v>
      </c>
      <c r="P127" s="3" t="s">
        <v>1129</v>
      </c>
      <c r="Q127" s="14" t="s">
        <v>170</v>
      </c>
      <c r="R127" s="5"/>
    </row>
    <row r="128" spans="1:18" x14ac:dyDescent="0.55000000000000004">
      <c r="A128" s="2">
        <v>127</v>
      </c>
      <c r="B128" s="3" t="s">
        <v>1130</v>
      </c>
      <c r="C128" s="2" t="s">
        <v>159</v>
      </c>
      <c r="D128" s="2" t="s">
        <v>193</v>
      </c>
      <c r="E128" s="2">
        <v>62</v>
      </c>
      <c r="F128" s="2">
        <v>1.6</v>
      </c>
      <c r="G128" s="2">
        <v>36</v>
      </c>
      <c r="H128" s="3" t="s">
        <v>1131</v>
      </c>
      <c r="I128" s="3" t="s">
        <v>183</v>
      </c>
      <c r="J128" s="3" t="s">
        <v>195</v>
      </c>
      <c r="K128" s="3" t="s">
        <v>1132</v>
      </c>
      <c r="L128" s="3" t="s">
        <v>1133</v>
      </c>
      <c r="M128" s="3" t="s">
        <v>1134</v>
      </c>
      <c r="N128" s="3" t="s">
        <v>1135</v>
      </c>
      <c r="O128" s="3" t="s">
        <v>195</v>
      </c>
      <c r="P128" s="3" t="s">
        <v>1136</v>
      </c>
      <c r="Q128" s="10" t="s">
        <v>361</v>
      </c>
      <c r="R128" s="5"/>
    </row>
    <row r="129" spans="1:18" x14ac:dyDescent="0.55000000000000004">
      <c r="A129" s="2">
        <v>128</v>
      </c>
      <c r="B129" s="3" t="s">
        <v>1137</v>
      </c>
      <c r="C129" s="2" t="s">
        <v>160</v>
      </c>
      <c r="D129" s="2" t="s">
        <v>193</v>
      </c>
      <c r="E129" s="2">
        <v>62</v>
      </c>
      <c r="F129" s="2">
        <v>1.56</v>
      </c>
      <c r="G129" s="2">
        <v>28</v>
      </c>
      <c r="H129" s="3" t="s">
        <v>1138</v>
      </c>
      <c r="I129" s="3" t="s">
        <v>173</v>
      </c>
      <c r="J129" s="3" t="s">
        <v>270</v>
      </c>
      <c r="K129" s="3" t="s">
        <v>1139</v>
      </c>
      <c r="L129" s="3" t="s">
        <v>1140</v>
      </c>
      <c r="M129" s="3" t="s">
        <v>1141</v>
      </c>
      <c r="N129" s="3" t="s">
        <v>1142</v>
      </c>
      <c r="O129" s="3" t="s">
        <v>174</v>
      </c>
      <c r="P129" s="3" t="s">
        <v>1143</v>
      </c>
      <c r="Q129" s="10" t="s">
        <v>361</v>
      </c>
      <c r="R129" s="5"/>
    </row>
    <row r="130" spans="1:18" x14ac:dyDescent="0.55000000000000004">
      <c r="A130" s="2">
        <v>129</v>
      </c>
      <c r="B130" s="3" t="s">
        <v>1144</v>
      </c>
      <c r="C130" s="2" t="s">
        <v>159</v>
      </c>
      <c r="D130" s="2" t="s">
        <v>193</v>
      </c>
      <c r="E130" s="2">
        <v>91</v>
      </c>
      <c r="F130" s="2">
        <v>1.6</v>
      </c>
      <c r="G130" s="2">
        <v>23</v>
      </c>
      <c r="H130" s="3" t="s">
        <v>1145</v>
      </c>
      <c r="I130" s="3" t="s">
        <v>440</v>
      </c>
      <c r="J130" s="3" t="s">
        <v>210</v>
      </c>
      <c r="K130" s="3" t="s">
        <v>1146</v>
      </c>
      <c r="L130" s="3" t="s">
        <v>1147</v>
      </c>
      <c r="M130" s="3" t="s">
        <v>1148</v>
      </c>
      <c r="N130" s="3" t="s">
        <v>1149</v>
      </c>
      <c r="O130" s="3" t="s">
        <v>210</v>
      </c>
      <c r="P130" s="3" t="s">
        <v>1150</v>
      </c>
      <c r="Q130" s="16" t="s">
        <v>202</v>
      </c>
      <c r="R130" s="5"/>
    </row>
    <row r="131" spans="1:18" x14ac:dyDescent="0.55000000000000004">
      <c r="A131" s="2">
        <v>130</v>
      </c>
      <c r="B131" s="3" t="s">
        <v>952</v>
      </c>
      <c r="C131" s="2" t="s">
        <v>159</v>
      </c>
      <c r="D131" s="2" t="s">
        <v>160</v>
      </c>
      <c r="E131" s="2">
        <v>95</v>
      </c>
      <c r="F131" s="2">
        <v>1.84</v>
      </c>
      <c r="G131" s="2">
        <v>45</v>
      </c>
      <c r="H131" s="3" t="s">
        <v>1151</v>
      </c>
      <c r="I131" s="3" t="s">
        <v>173</v>
      </c>
      <c r="J131" s="3" t="s">
        <v>949</v>
      </c>
      <c r="K131" s="3" t="s">
        <v>953</v>
      </c>
      <c r="L131" s="3" t="s">
        <v>954</v>
      </c>
      <c r="M131" s="3" t="s">
        <v>955</v>
      </c>
      <c r="N131" s="3" t="s">
        <v>956</v>
      </c>
      <c r="O131" s="3" t="s">
        <v>210</v>
      </c>
      <c r="P131" s="3" t="s">
        <v>1152</v>
      </c>
      <c r="Q131" s="15" t="s">
        <v>320</v>
      </c>
      <c r="R131" s="5"/>
    </row>
    <row r="132" spans="1:18" x14ac:dyDescent="0.55000000000000004">
      <c r="A132" s="2">
        <v>131</v>
      </c>
      <c r="B132" s="3" t="s">
        <v>1153</v>
      </c>
      <c r="C132" s="2" t="s">
        <v>159</v>
      </c>
      <c r="D132" s="2" t="s">
        <v>160</v>
      </c>
      <c r="E132" s="2"/>
      <c r="F132" s="2">
        <v>1.82</v>
      </c>
      <c r="G132" s="2">
        <v>41</v>
      </c>
      <c r="H132" s="3" t="s">
        <v>1154</v>
      </c>
      <c r="I132" s="3" t="s">
        <v>183</v>
      </c>
      <c r="J132" s="3" t="s">
        <v>904</v>
      </c>
      <c r="K132" s="3" t="s">
        <v>1155</v>
      </c>
      <c r="L132" s="3" t="s">
        <v>1156</v>
      </c>
      <c r="M132" s="3" t="s">
        <v>1157</v>
      </c>
      <c r="N132" s="3" t="s">
        <v>1158</v>
      </c>
      <c r="O132" s="3" t="s">
        <v>174</v>
      </c>
      <c r="P132" s="3" t="s">
        <v>1159</v>
      </c>
      <c r="Q132" s="14" t="s">
        <v>170</v>
      </c>
      <c r="R132" s="5"/>
    </row>
    <row r="133" spans="1:18" x14ac:dyDescent="0.55000000000000004">
      <c r="A133" s="2">
        <v>132</v>
      </c>
      <c r="B133" s="3" t="s">
        <v>1160</v>
      </c>
      <c r="C133" s="2" t="s">
        <v>400</v>
      </c>
      <c r="D133" s="2" t="s">
        <v>160</v>
      </c>
      <c r="E133" s="2">
        <v>106</v>
      </c>
      <c r="F133" s="2">
        <v>1.85</v>
      </c>
      <c r="G133" s="2">
        <v>41</v>
      </c>
      <c r="H133" s="3" t="s">
        <v>1161</v>
      </c>
      <c r="I133" s="3" t="s">
        <v>1162</v>
      </c>
      <c r="J133" s="3" t="s">
        <v>174</v>
      </c>
      <c r="K133" s="3" t="s">
        <v>1163</v>
      </c>
      <c r="L133" s="3" t="s">
        <v>1164</v>
      </c>
      <c r="M133" s="3" t="s">
        <v>1165</v>
      </c>
      <c r="N133" s="3" t="s">
        <v>1166</v>
      </c>
      <c r="O133" s="3" t="s">
        <v>195</v>
      </c>
      <c r="P133" s="3" t="s">
        <v>1167</v>
      </c>
      <c r="Q133" s="15" t="s">
        <v>320</v>
      </c>
      <c r="R133" s="5"/>
    </row>
    <row r="134" spans="1:18" x14ac:dyDescent="0.55000000000000004">
      <c r="A134" s="2">
        <v>133</v>
      </c>
      <c r="B134" s="3" t="s">
        <v>1168</v>
      </c>
      <c r="C134" s="2" t="s">
        <v>322</v>
      </c>
      <c r="D134" s="2" t="s">
        <v>193</v>
      </c>
      <c r="E134" s="2">
        <v>90</v>
      </c>
      <c r="F134" s="2">
        <v>1.7</v>
      </c>
      <c r="G134" s="2">
        <v>51</v>
      </c>
      <c r="H134" s="3" t="s">
        <v>1169</v>
      </c>
      <c r="I134" s="3" t="s">
        <v>541</v>
      </c>
      <c r="J134" s="3" t="s">
        <v>1170</v>
      </c>
      <c r="K134" s="3" t="s">
        <v>1171</v>
      </c>
      <c r="L134" s="3" t="s">
        <v>760</v>
      </c>
      <c r="M134" s="3" t="s">
        <v>1172</v>
      </c>
      <c r="N134" s="3" t="s">
        <v>762</v>
      </c>
      <c r="O134" s="3" t="s">
        <v>174</v>
      </c>
      <c r="P134" s="3" t="s">
        <v>1173</v>
      </c>
      <c r="Q134" s="14" t="s">
        <v>170</v>
      </c>
      <c r="R134" s="5"/>
    </row>
    <row r="135" spans="1:18" x14ac:dyDescent="0.55000000000000004">
      <c r="A135" s="2">
        <v>134</v>
      </c>
      <c r="B135" s="3" t="s">
        <v>1174</v>
      </c>
      <c r="C135" s="2" t="s">
        <v>214</v>
      </c>
      <c r="D135" s="2" t="s">
        <v>193</v>
      </c>
      <c r="E135" s="2">
        <v>60</v>
      </c>
      <c r="F135" s="2">
        <v>1.6</v>
      </c>
      <c r="G135" s="2">
        <v>50</v>
      </c>
      <c r="H135" s="3" t="s">
        <v>1175</v>
      </c>
      <c r="I135" s="3" t="s">
        <v>1176</v>
      </c>
      <c r="J135" s="3" t="s">
        <v>1177</v>
      </c>
      <c r="K135" s="3" t="s">
        <v>1178</v>
      </c>
      <c r="L135" s="3" t="s">
        <v>1179</v>
      </c>
      <c r="M135" s="3" t="s">
        <v>1180</v>
      </c>
      <c r="N135" s="3" t="s">
        <v>1181</v>
      </c>
      <c r="O135" s="3" t="s">
        <v>174</v>
      </c>
      <c r="P135" s="3" t="s">
        <v>1182</v>
      </c>
      <c r="Q135" s="14" t="s">
        <v>170</v>
      </c>
      <c r="R135" s="5"/>
    </row>
    <row r="136" spans="1:18" x14ac:dyDescent="0.55000000000000004">
      <c r="A136" s="2">
        <v>135</v>
      </c>
      <c r="B136" s="3" t="s">
        <v>1183</v>
      </c>
      <c r="C136" s="2" t="s">
        <v>160</v>
      </c>
      <c r="D136" s="2" t="s">
        <v>160</v>
      </c>
      <c r="E136" s="2">
        <v>74</v>
      </c>
      <c r="F136" s="2">
        <v>1.74</v>
      </c>
      <c r="G136" s="2">
        <v>35</v>
      </c>
      <c r="H136" s="3" t="s">
        <v>1184</v>
      </c>
      <c r="I136" s="3" t="s">
        <v>307</v>
      </c>
      <c r="J136" s="3" t="s">
        <v>174</v>
      </c>
      <c r="K136" s="3" t="s">
        <v>1185</v>
      </c>
      <c r="L136" s="3" t="s">
        <v>1186</v>
      </c>
      <c r="M136" s="3" t="s">
        <v>1187</v>
      </c>
      <c r="N136" s="3" t="s">
        <v>1188</v>
      </c>
      <c r="O136" s="3" t="s">
        <v>1189</v>
      </c>
      <c r="P136" s="3" t="s">
        <v>1190</v>
      </c>
      <c r="Q136" s="100" t="s">
        <v>246</v>
      </c>
      <c r="R136" s="5"/>
    </row>
    <row r="137" spans="1:18" x14ac:dyDescent="0.55000000000000004">
      <c r="A137" s="2">
        <v>136</v>
      </c>
      <c r="B137" s="3" t="s">
        <v>1191</v>
      </c>
      <c r="C137" s="2" t="s">
        <v>159</v>
      </c>
      <c r="D137" s="2" t="s">
        <v>193</v>
      </c>
      <c r="E137" s="2">
        <v>70</v>
      </c>
      <c r="F137" s="2">
        <v>1.6</v>
      </c>
      <c r="G137" s="2">
        <v>71</v>
      </c>
      <c r="H137" s="3" t="s">
        <v>1192</v>
      </c>
      <c r="I137" s="3" t="s">
        <v>183</v>
      </c>
      <c r="J137" s="3" t="s">
        <v>270</v>
      </c>
      <c r="K137" s="3" t="s">
        <v>1193</v>
      </c>
      <c r="L137" s="3" t="s">
        <v>1194</v>
      </c>
      <c r="M137" s="3" t="s">
        <v>1195</v>
      </c>
      <c r="N137" s="3" t="s">
        <v>1196</v>
      </c>
      <c r="O137" s="3" t="s">
        <v>270</v>
      </c>
      <c r="P137" s="3" t="s">
        <v>1197</v>
      </c>
      <c r="Q137" s="15" t="s">
        <v>320</v>
      </c>
      <c r="R137" s="5"/>
    </row>
    <row r="138" spans="1:18" x14ac:dyDescent="0.55000000000000004">
      <c r="A138" s="2">
        <v>137</v>
      </c>
      <c r="B138" s="3" t="s">
        <v>1198</v>
      </c>
      <c r="C138" s="2" t="s">
        <v>322</v>
      </c>
      <c r="D138" s="2" t="s">
        <v>193</v>
      </c>
      <c r="E138" s="2">
        <v>95</v>
      </c>
      <c r="F138" s="2">
        <v>1.65</v>
      </c>
      <c r="G138" s="2">
        <v>30</v>
      </c>
      <c r="H138" s="3" t="s">
        <v>1199</v>
      </c>
      <c r="I138" s="3" t="s">
        <v>173</v>
      </c>
      <c r="J138" s="3" t="s">
        <v>1200</v>
      </c>
      <c r="K138" s="3" t="s">
        <v>1201</v>
      </c>
      <c r="L138" s="3" t="s">
        <v>1202</v>
      </c>
      <c r="M138" s="3" t="s">
        <v>1203</v>
      </c>
      <c r="N138" s="3" t="s">
        <v>1204</v>
      </c>
      <c r="O138" s="3" t="s">
        <v>174</v>
      </c>
      <c r="P138" s="3" t="s">
        <v>1205</v>
      </c>
      <c r="Q138" s="15" t="s">
        <v>320</v>
      </c>
      <c r="R138" s="5">
        <v>91</v>
      </c>
    </row>
    <row r="139" spans="1:18" x14ac:dyDescent="0.55000000000000004">
      <c r="A139" s="2">
        <v>138</v>
      </c>
      <c r="B139" s="3" t="s">
        <v>1206</v>
      </c>
      <c r="C139" s="2" t="s">
        <v>160</v>
      </c>
      <c r="D139" s="2" t="s">
        <v>193</v>
      </c>
      <c r="E139" s="2">
        <v>73</v>
      </c>
      <c r="F139" s="2">
        <v>1.67</v>
      </c>
      <c r="G139" s="2">
        <v>43</v>
      </c>
      <c r="H139" s="3" t="s">
        <v>1207</v>
      </c>
      <c r="I139" s="3" t="s">
        <v>173</v>
      </c>
      <c r="J139" s="3" t="s">
        <v>174</v>
      </c>
      <c r="K139" s="3" t="s">
        <v>1208</v>
      </c>
      <c r="L139" s="3" t="s">
        <v>1209</v>
      </c>
      <c r="M139" s="3" t="s">
        <v>1210</v>
      </c>
      <c r="N139" s="3" t="s">
        <v>1211</v>
      </c>
      <c r="O139" s="3" t="s">
        <v>174</v>
      </c>
      <c r="P139" s="3" t="s">
        <v>1212</v>
      </c>
      <c r="Q139" s="13" t="s">
        <v>191</v>
      </c>
      <c r="R139" s="5"/>
    </row>
    <row r="140" spans="1:18" x14ac:dyDescent="0.55000000000000004">
      <c r="A140" s="2">
        <v>139</v>
      </c>
      <c r="B140" s="3" t="s">
        <v>1213</v>
      </c>
      <c r="C140" s="2" t="s">
        <v>214</v>
      </c>
      <c r="D140" s="2" t="s">
        <v>193</v>
      </c>
      <c r="E140" s="2">
        <v>69</v>
      </c>
      <c r="F140" s="2">
        <v>1.65</v>
      </c>
      <c r="G140" s="2">
        <v>35</v>
      </c>
      <c r="H140" s="3" t="s">
        <v>1214</v>
      </c>
      <c r="I140" s="3" t="s">
        <v>519</v>
      </c>
      <c r="J140" s="3" t="s">
        <v>275</v>
      </c>
      <c r="K140" s="3" t="s">
        <v>276</v>
      </c>
      <c r="L140" s="3" t="s">
        <v>277</v>
      </c>
      <c r="M140" s="3" t="s">
        <v>1215</v>
      </c>
      <c r="N140" s="3" t="s">
        <v>1216</v>
      </c>
      <c r="O140" s="3" t="s">
        <v>210</v>
      </c>
      <c r="P140" s="3" t="s">
        <v>1217</v>
      </c>
      <c r="Q140" s="10" t="s">
        <v>361</v>
      </c>
      <c r="R140" s="5"/>
    </row>
    <row r="141" spans="1:18" x14ac:dyDescent="0.55000000000000004">
      <c r="A141" s="2">
        <v>140</v>
      </c>
      <c r="B141" s="3" t="s">
        <v>1218</v>
      </c>
      <c r="C141" s="2" t="s">
        <v>159</v>
      </c>
      <c r="D141" s="2" t="s">
        <v>160</v>
      </c>
      <c r="E141" s="2">
        <v>89</v>
      </c>
      <c r="F141" s="2">
        <v>1.73</v>
      </c>
      <c r="G141" s="2">
        <v>39</v>
      </c>
      <c r="H141" s="3" t="s">
        <v>1219</v>
      </c>
      <c r="I141" s="3" t="s">
        <v>1220</v>
      </c>
      <c r="J141" s="3" t="s">
        <v>1221</v>
      </c>
      <c r="K141" s="3" t="s">
        <v>1222</v>
      </c>
      <c r="L141" s="3" t="s">
        <v>1223</v>
      </c>
      <c r="M141" s="3" t="s">
        <v>1224</v>
      </c>
      <c r="N141" s="3" t="s">
        <v>1223</v>
      </c>
      <c r="O141" s="3" t="s">
        <v>174</v>
      </c>
      <c r="P141" s="3" t="s">
        <v>1225</v>
      </c>
      <c r="Q141" s="16" t="s">
        <v>202</v>
      </c>
      <c r="R141" s="5"/>
    </row>
    <row r="142" spans="1:18" x14ac:dyDescent="0.55000000000000004">
      <c r="A142" s="11"/>
      <c r="B142" s="12"/>
      <c r="C142" s="11"/>
      <c r="D142" s="11"/>
      <c r="E142" s="11"/>
      <c r="F142" s="11"/>
      <c r="G142" s="11"/>
      <c r="H142" s="12"/>
      <c r="I142" s="12"/>
      <c r="J142" s="12"/>
      <c r="K142" s="12"/>
      <c r="L142" s="12"/>
      <c r="M142" s="12"/>
      <c r="N142" s="12"/>
      <c r="O142" s="12"/>
      <c r="P142" s="12"/>
      <c r="Q142" s="8"/>
      <c r="R142" s="11"/>
    </row>
    <row r="143" spans="1:18" x14ac:dyDescent="0.55000000000000004">
      <c r="A143" s="6"/>
      <c r="B143" s="7"/>
      <c r="C143" s="6"/>
      <c r="D143" s="6"/>
      <c r="E143" s="6"/>
      <c r="F143" s="6"/>
      <c r="G143" s="6"/>
      <c r="H143" s="7"/>
      <c r="I143" s="7"/>
      <c r="J143" s="7"/>
      <c r="K143" s="7"/>
      <c r="L143" s="7"/>
      <c r="M143" s="7"/>
      <c r="N143" s="7"/>
      <c r="O143" s="7"/>
      <c r="P143" s="7"/>
      <c r="Q143" s="4"/>
      <c r="R143" s="6"/>
    </row>
    <row r="144" spans="1:18" x14ac:dyDescent="0.55000000000000004">
      <c r="A144" s="11"/>
      <c r="B144" s="12"/>
      <c r="C144" s="11"/>
      <c r="D144" s="11"/>
      <c r="E144" s="11"/>
      <c r="F144" s="11"/>
      <c r="G144" s="11"/>
      <c r="H144" s="12"/>
      <c r="I144" s="12"/>
      <c r="J144" s="12"/>
      <c r="K144" s="12"/>
      <c r="L144" s="12"/>
      <c r="M144" s="12"/>
      <c r="N144" s="12"/>
      <c r="O144" s="12"/>
      <c r="P144" s="12"/>
      <c r="Q144" s="4"/>
      <c r="R144" s="11"/>
    </row>
    <row r="145" spans="1:18" x14ac:dyDescent="0.55000000000000004">
      <c r="A145" s="6"/>
      <c r="B145" s="7"/>
      <c r="C145" s="6"/>
      <c r="D145" s="6"/>
      <c r="E145" s="6"/>
      <c r="F145" s="6"/>
      <c r="G145" s="6"/>
      <c r="H145" s="7"/>
      <c r="I145" s="7"/>
      <c r="J145" s="7"/>
      <c r="K145" s="7"/>
      <c r="L145" s="7"/>
      <c r="M145" s="7"/>
      <c r="N145" s="7"/>
      <c r="O145" s="7"/>
      <c r="P145" s="7"/>
      <c r="Q145" s="15"/>
      <c r="R145" s="6"/>
    </row>
    <row r="147" spans="1:18" x14ac:dyDescent="0.55000000000000004">
      <c r="A147" s="184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</row>
  </sheetData>
  <mergeCells count="1">
    <mergeCell ref="A147:R1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315"/>
  <sheetViews>
    <sheetView tabSelected="1" topLeftCell="A283" workbookViewId="0">
      <selection activeCell="I310" sqref="I310:J310"/>
    </sheetView>
  </sheetViews>
  <sheetFormatPr defaultRowHeight="14.4" x14ac:dyDescent="0.55000000000000004"/>
  <cols>
    <col min="1" max="1" width="7" customWidth="1"/>
    <col min="2" max="2" width="38" customWidth="1"/>
    <col min="3" max="5" width="7" customWidth="1"/>
    <col min="6" max="6" width="22" customWidth="1"/>
    <col min="7" max="7" width="13" customWidth="1"/>
    <col min="8" max="8" width="22" customWidth="1"/>
    <col min="9" max="9" width="48" customWidth="1"/>
    <col min="10" max="10" width="6" customWidth="1"/>
    <col min="11" max="11" width="9" customWidth="1"/>
    <col min="12" max="12" width="8" customWidth="1"/>
  </cols>
  <sheetData>
    <row r="1" spans="1:10" ht="28" customHeight="1" x14ac:dyDescent="0.55000000000000004">
      <c r="A1" s="172" t="s">
        <v>0</v>
      </c>
      <c r="B1" s="136"/>
      <c r="C1" s="136"/>
      <c r="D1" s="136"/>
      <c r="E1" s="150" t="s">
        <v>1</v>
      </c>
      <c r="F1" s="136"/>
      <c r="G1" s="136"/>
      <c r="H1" s="136"/>
      <c r="I1" s="136"/>
      <c r="J1" s="144"/>
    </row>
    <row r="2" spans="1:10" x14ac:dyDescent="0.55000000000000004">
      <c r="A2" s="139"/>
      <c r="B2" s="121"/>
      <c r="C2" s="121"/>
      <c r="D2" s="121"/>
      <c r="E2" s="121"/>
      <c r="F2" s="121"/>
      <c r="G2" s="121"/>
      <c r="H2" s="121"/>
      <c r="I2" s="121"/>
      <c r="J2" s="125"/>
    </row>
    <row r="3" spans="1:10" x14ac:dyDescent="0.55000000000000004">
      <c r="A3" s="120"/>
      <c r="B3" s="121"/>
      <c r="C3" s="121"/>
      <c r="D3" s="121"/>
      <c r="E3" s="121"/>
      <c r="F3" s="121"/>
      <c r="G3" s="121"/>
      <c r="H3" s="121"/>
      <c r="I3" s="121"/>
      <c r="J3" s="125"/>
    </row>
    <row r="4" spans="1:10" x14ac:dyDescent="0.55000000000000004">
      <c r="A4" s="51" t="s">
        <v>2</v>
      </c>
      <c r="D4" s="142"/>
      <c r="E4" s="121"/>
      <c r="F4" s="121"/>
      <c r="G4" s="50" t="s">
        <v>3</v>
      </c>
      <c r="J4" s="52"/>
    </row>
    <row r="5" spans="1:10" x14ac:dyDescent="0.55000000000000004">
      <c r="A5" s="148" t="s">
        <v>4</v>
      </c>
      <c r="B5" s="121"/>
      <c r="C5" s="121"/>
      <c r="D5" s="121"/>
      <c r="E5" s="121"/>
      <c r="F5" s="121"/>
      <c r="G5" s="183" t="s">
        <v>5</v>
      </c>
      <c r="H5" s="121"/>
      <c r="I5" s="121"/>
      <c r="J5" s="125"/>
    </row>
    <row r="6" spans="1:10" x14ac:dyDescent="0.55000000000000004">
      <c r="A6" s="148" t="s">
        <v>6</v>
      </c>
      <c r="B6" s="121"/>
      <c r="C6" s="121"/>
      <c r="D6" s="121"/>
      <c r="E6" s="121"/>
      <c r="F6" s="121"/>
      <c r="G6" s="177"/>
      <c r="H6" s="121"/>
      <c r="I6" s="121"/>
      <c r="J6" s="125"/>
    </row>
    <row r="7" spans="1:10" x14ac:dyDescent="0.55000000000000004">
      <c r="A7" s="161"/>
      <c r="B7" s="129"/>
      <c r="C7" s="129"/>
      <c r="D7" s="129"/>
      <c r="E7" s="129"/>
      <c r="F7" s="129"/>
      <c r="G7" s="129"/>
      <c r="H7" s="129"/>
      <c r="I7" s="129"/>
      <c r="J7" s="146"/>
    </row>
    <row r="8" spans="1:10" x14ac:dyDescent="0.55000000000000004">
      <c r="A8" s="53" t="s">
        <v>7</v>
      </c>
      <c r="B8" s="17" t="s">
        <v>8</v>
      </c>
      <c r="C8" s="17" t="s">
        <v>9</v>
      </c>
      <c r="D8" s="17" t="s">
        <v>10</v>
      </c>
      <c r="E8" s="17" t="s">
        <v>11</v>
      </c>
      <c r="F8" s="17" t="s">
        <v>12</v>
      </c>
      <c r="G8" s="17" t="s">
        <v>13</v>
      </c>
      <c r="H8" s="17" t="s">
        <v>14</v>
      </c>
      <c r="I8" s="17" t="s">
        <v>15</v>
      </c>
      <c r="J8" s="54" t="s">
        <v>16</v>
      </c>
    </row>
    <row r="9" spans="1:10" ht="18" customHeight="1" x14ac:dyDescent="0.55000000000000004">
      <c r="A9" s="57">
        <v>4</v>
      </c>
      <c r="B9" s="7" t="str">
        <f>IFERROR(VLOOKUP(A9,'Cadastro Geral Campistas'!$A:$R,2,0),"")</f>
        <v>Amanda  Werneck</v>
      </c>
      <c r="C9" s="6">
        <f>IFERROR(VLOOKUP(A9,'Cadastro Geral Campistas'!$A:$R,5,0),"")</f>
        <v>69</v>
      </c>
      <c r="D9" s="6">
        <f>IFERROR(VLOOKUP(A9,'Cadastro Geral Campistas'!$A:$R,6,0),"")</f>
        <v>1.7</v>
      </c>
      <c r="E9" s="6">
        <f>IFERROR(VLOOKUP(A9,'Cadastro Geral Campistas'!$A:$R,7,0),"")</f>
        <v>45</v>
      </c>
      <c r="F9" s="7" t="str">
        <f>IFERROR(VLOOKUP(A9,'Cadastro Geral Campistas'!$A:$R,9,0),"")</f>
        <v>Goiânia</v>
      </c>
      <c r="G9" s="6" t="str">
        <f>IFERROR(VLOOKUP(A9,'Cadastro Geral Campistas'!$A:$R,3,0),"")</f>
        <v>G</v>
      </c>
      <c r="H9" s="7" t="str">
        <f>IFERROR(VLOOKUP(A9,'Cadastro Geral Campistas'!$A:$R,8,0),"")</f>
        <v>+55 (62) 99804-9912</v>
      </c>
      <c r="I9" s="101" t="str">
        <f>IF(AND(IFERROR(VLOOKUP(A9,'Cadastro Geral Campistas'!$A:$R,18,0),0)&gt;0,COUNTIF($A$9:$A$24,IFERROR(VLOOKUP(A9,'Cadastro Geral Campistas'!$A:$R,18,0),0))&gt;0),"⚠️ CONFLITO! Cônjuge na mesma tribo: "&amp;IFERROR(VLOOKUP(IFERROR(VLOOKUP(A9,'Cadastro Geral Campistas'!$A:$R,18,0),0),'Cadastro Geral Campistas'!$A:$R,2,""),""),TRIM(IF(AND(IFERROR(VLOOKUP(A9,'Cadastro Geral Campistas'!$A:$R,10,0),"")&lt;&gt;"",LOWER(TRIM(IFERROR(VLOOKUP(A9,'Cadastro Geral Campistas'!$A:$R,10,0),"")))&lt;&gt;"não",LOWER(TRIM(IFERROR(VLOOKUP(A9,'Cadastro Geral Campistas'!$A:$R,10,0),"")))&lt;&gt;"nao",LOWER(TRIM(IFERROR(VLOOKUP(A9,'Cadastro Geral Campistas'!$A:$R,10,0),"")))&lt;&gt;"0"),IFERROR(VLOOKUP(A9,'Cadastro Geral Campistas'!$A:$R,10,0),"")&amp;IF(AND(IFERROR(VLOOKUP(A9,'Cadastro Geral Campistas'!$A:$R,15,0),"")&lt;&gt;"",LOWER(TRIM(IFERROR(VLOOKUP(A9,'Cadastro Geral Campistas'!$A:$R,15,0),"")))&lt;&gt;"não",LOWER(TRIM(IFERROR(VLOOKUP(A9,'Cadastro Geral Campistas'!$A:$R,15,0),"")))&lt;&gt;"nao",LOWER(TRIM(IFERROR(VLOOKUP(A9,'Cadastro Geral Campistas'!$A:$R,15,0),"")))&lt;&gt;"0")," | Alergia: "&amp;IFERROR(VLOOKUP(A9,'Cadastro Geral Campistas'!$A:$R,15,0),""),""),IF(AND(IFERROR(VLOOKUP(A9,'Cadastro Geral Campistas'!$A:$R,15,0),"")&lt;&gt;"",LOWER(TRIM(IFERROR(VLOOKUP(A9,'Cadastro Geral Campistas'!$A:$R,15,0),"")))&lt;&gt;"não",LOWER(TRIM(IFERROR(VLOOKUP(A9,'Cadastro Geral Campistas'!$A:$R,15,0),"")))&lt;&gt;"nao",LOWER(TRIM(IFERROR(VLOOKUP(A9,'Cadastro Geral Campistas'!$A:$R,15,0),"")))&lt;&gt;"0"),"Alergia: "&amp;IFERROR(VLOOKUP(A9,'Cadastro Geral Campistas'!$A:$R,15,0),""),""))))</f>
        <v>Não. | Alergia: Insetos</v>
      </c>
      <c r="J9" s="58" t="str">
        <f>IFERROR(VLOOKUP(A9,'Cadastro Geral Campistas'!$A:$R,4,0),"")</f>
        <v>F</v>
      </c>
    </row>
    <row r="10" spans="1:10" ht="18" customHeight="1" x14ac:dyDescent="0.55000000000000004">
      <c r="A10" s="59">
        <v>50</v>
      </c>
      <c r="B10" s="18" t="str">
        <f>IFERROR(VLOOKUP(A10,'Cadastro Geral Campistas'!$A:$R,2,0),"")</f>
        <v>Geisa Souza de Araujo</v>
      </c>
      <c r="C10" s="19">
        <f>IFERROR(VLOOKUP(A10,'Cadastro Geral Campistas'!$A:$R,5,0),"")</f>
        <v>74</v>
      </c>
      <c r="D10" s="19">
        <f>IFERROR(VLOOKUP(A10,'Cadastro Geral Campistas'!$A:$R,6,0),"")</f>
        <v>1.6</v>
      </c>
      <c r="E10" s="19">
        <f>IFERROR(VLOOKUP(A10,'Cadastro Geral Campistas'!$A:$R,7,0),"")</f>
        <v>65</v>
      </c>
      <c r="F10" s="18" t="str">
        <f>IFERROR(VLOOKUP(A10,'Cadastro Geral Campistas'!$A:$R,9,0),"")</f>
        <v>Goiânia</v>
      </c>
      <c r="G10" s="19" t="str">
        <f>IFERROR(VLOOKUP(A10,'Cadastro Geral Campistas'!$A:$R,3,0),"")</f>
        <v>G</v>
      </c>
      <c r="H10" s="18" t="str">
        <f>IFERROR(VLOOKUP(A10,'Cadastro Geral Campistas'!$A:$R,8,0),"")</f>
        <v>+55 (62) 98438-6602</v>
      </c>
      <c r="I10" s="102" t="str">
        <f>IF(AND(IFERROR(VLOOKUP(A10,'Cadastro Geral Campistas'!$A:$R,18,0),0)&gt;0,COUNTIF($A$9:$A$24,IFERROR(VLOOKUP(A10,'Cadastro Geral Campistas'!$A:$R,18,0),0))&gt;0),"⚠️ CONFLITO! Cônjuge na mesma tribo: "&amp;IFERROR(VLOOKUP(IFERROR(VLOOKUP(A10,'Cadastro Geral Campistas'!$A:$R,18,0),0),'Cadastro Geral Campistas'!$A:$R,2,""),""),TRIM(IF(AND(IFERROR(VLOOKUP(A10,'Cadastro Geral Campistas'!$A:$R,10,0),"")&lt;&gt;"",LOWER(TRIM(IFERROR(VLOOKUP(A10,'Cadastro Geral Campistas'!$A:$R,10,0),"")))&lt;&gt;"não",LOWER(TRIM(IFERROR(VLOOKUP(A10,'Cadastro Geral Campistas'!$A:$R,10,0),"")))&lt;&gt;"nao",LOWER(TRIM(IFERROR(VLOOKUP(A10,'Cadastro Geral Campistas'!$A:$R,10,0),"")))&lt;&gt;"0"),IFERROR(VLOOKUP(A10,'Cadastro Geral Campistas'!$A:$R,10,0),"")&amp;IF(AND(IFERROR(VLOOKUP(A10,'Cadastro Geral Campistas'!$A:$R,15,0),"")&lt;&gt;"",LOWER(TRIM(IFERROR(VLOOKUP(A10,'Cadastro Geral Campistas'!$A:$R,15,0),"")))&lt;&gt;"não",LOWER(TRIM(IFERROR(VLOOKUP(A10,'Cadastro Geral Campistas'!$A:$R,15,0),"")))&lt;&gt;"nao",LOWER(TRIM(IFERROR(VLOOKUP(A10,'Cadastro Geral Campistas'!$A:$R,15,0),"")))&lt;&gt;"0")," | Alergia: "&amp;IFERROR(VLOOKUP(A10,'Cadastro Geral Campistas'!$A:$R,15,0),""),""),IF(AND(IFERROR(VLOOKUP(A10,'Cadastro Geral Campistas'!$A:$R,15,0),"")&lt;&gt;"",LOWER(TRIM(IFERROR(VLOOKUP(A10,'Cadastro Geral Campistas'!$A:$R,15,0),"")))&lt;&gt;"não",LOWER(TRIM(IFERROR(VLOOKUP(A10,'Cadastro Geral Campistas'!$A:$R,15,0),"")))&lt;&gt;"nao",LOWER(TRIM(IFERROR(VLOOKUP(A10,'Cadastro Geral Campistas'!$A:$R,15,0),"")))&lt;&gt;"0"),"Alergia: "&amp;IFERROR(VLOOKUP(A10,'Cadastro Geral Campistas'!$A:$R,15,0),""),""))))</f>
        <v/>
      </c>
      <c r="J10" s="60" t="str">
        <f>IFERROR(VLOOKUP(A10,'Cadastro Geral Campistas'!$A:$R,4,0),"")</f>
        <v>F</v>
      </c>
    </row>
    <row r="11" spans="1:10" ht="18" customHeight="1" x14ac:dyDescent="0.55000000000000004">
      <c r="A11" s="57">
        <v>79</v>
      </c>
      <c r="B11" s="7" t="str">
        <f>IFERROR(VLOOKUP(A11,'Cadastro Geral Campistas'!$A:$R,2,0),"")</f>
        <v>Ligiane Paula Ribeiro</v>
      </c>
      <c r="C11" s="6">
        <f>IFERROR(VLOOKUP(A11,'Cadastro Geral Campistas'!$A:$R,5,0),"")</f>
        <v>79</v>
      </c>
      <c r="D11" s="6">
        <f>IFERROR(VLOOKUP(A11,'Cadastro Geral Campistas'!$A:$R,6,0),"")</f>
        <v>1.68</v>
      </c>
      <c r="E11" s="6">
        <f>IFERROR(VLOOKUP(A11,'Cadastro Geral Campistas'!$A:$R,7,0),"")</f>
        <v>45</v>
      </c>
      <c r="F11" s="7" t="str">
        <f>IFERROR(VLOOKUP(A11,'Cadastro Geral Campistas'!$A:$R,9,0),"")</f>
        <v>goiania</v>
      </c>
      <c r="G11" s="6" t="str">
        <f>IFERROR(VLOOKUP(A11,'Cadastro Geral Campistas'!$A:$R,3,0),"")</f>
        <v>G</v>
      </c>
      <c r="H11" s="7" t="str">
        <f>IFERROR(VLOOKUP(A11,'Cadastro Geral Campistas'!$A:$R,8,0),"")</f>
        <v>+55 (62) 99368-8383</v>
      </c>
      <c r="I11" s="101" t="str">
        <f>IF(AND(IFERROR(VLOOKUP(A11,'Cadastro Geral Campistas'!$A:$R,18,0),0)&gt;0,COUNTIF($A$9:$A$24,IFERROR(VLOOKUP(A11,'Cadastro Geral Campistas'!$A:$R,18,0),0))&gt;0),"⚠️ CONFLITO! Cônjuge na mesma tribo: "&amp;IFERROR(VLOOKUP(IFERROR(VLOOKUP(A11,'Cadastro Geral Campistas'!$A:$R,18,0),0),'Cadastro Geral Campistas'!$A:$R,2,""),""),TRIM(IF(AND(IFERROR(VLOOKUP(A11,'Cadastro Geral Campistas'!$A:$R,10,0),"")&lt;&gt;"",LOWER(TRIM(IFERROR(VLOOKUP(A11,'Cadastro Geral Campistas'!$A:$R,10,0),"")))&lt;&gt;"não",LOWER(TRIM(IFERROR(VLOOKUP(A11,'Cadastro Geral Campistas'!$A:$R,10,0),"")))&lt;&gt;"nao",LOWER(TRIM(IFERROR(VLOOKUP(A11,'Cadastro Geral Campistas'!$A:$R,10,0),"")))&lt;&gt;"0"),IFERROR(VLOOKUP(A11,'Cadastro Geral Campistas'!$A:$R,10,0),"")&amp;IF(AND(IFERROR(VLOOKUP(A11,'Cadastro Geral Campistas'!$A:$R,15,0),"")&lt;&gt;"",LOWER(TRIM(IFERROR(VLOOKUP(A11,'Cadastro Geral Campistas'!$A:$R,15,0),"")))&lt;&gt;"não",LOWER(TRIM(IFERROR(VLOOKUP(A11,'Cadastro Geral Campistas'!$A:$R,15,0),"")))&lt;&gt;"nao",LOWER(TRIM(IFERROR(VLOOKUP(A11,'Cadastro Geral Campistas'!$A:$R,15,0),"")))&lt;&gt;"0")," | Alergia: "&amp;IFERROR(VLOOKUP(A11,'Cadastro Geral Campistas'!$A:$R,15,0),""),""),IF(AND(IFERROR(VLOOKUP(A11,'Cadastro Geral Campistas'!$A:$R,15,0),"")&lt;&gt;"",LOWER(TRIM(IFERROR(VLOOKUP(A11,'Cadastro Geral Campistas'!$A:$R,15,0),"")))&lt;&gt;"não",LOWER(TRIM(IFERROR(VLOOKUP(A11,'Cadastro Geral Campistas'!$A:$R,15,0),"")))&lt;&gt;"nao",LOWER(TRIM(IFERROR(VLOOKUP(A11,'Cadastro Geral Campistas'!$A:$R,15,0),"")))&lt;&gt;"0"),"Alergia: "&amp;IFERROR(VLOOKUP(A11,'Cadastro Geral Campistas'!$A:$R,15,0),""),""))))</f>
        <v>Alergia: A cheiros ( renite alérgica</v>
      </c>
      <c r="J11" s="58" t="str">
        <f>IFERROR(VLOOKUP(A11,'Cadastro Geral Campistas'!$A:$R,4,0),"")</f>
        <v>F</v>
      </c>
    </row>
    <row r="12" spans="1:10" ht="18" customHeight="1" x14ac:dyDescent="0.55000000000000004">
      <c r="A12" s="59">
        <v>102</v>
      </c>
      <c r="B12" s="18" t="str">
        <f>IFERROR(VLOOKUP(A12,'Cadastro Geral Campistas'!$A:$R,2,0),"")</f>
        <v>Marisa Edith Arias</v>
      </c>
      <c r="C12" s="19">
        <f>IFERROR(VLOOKUP(A12,'Cadastro Geral Campistas'!$A:$R,5,0),"")</f>
        <v>65</v>
      </c>
      <c r="D12" s="19">
        <f>IFERROR(VLOOKUP(A12,'Cadastro Geral Campistas'!$A:$R,6,0),"")</f>
        <v>1.65</v>
      </c>
      <c r="E12" s="19">
        <f>IFERROR(VLOOKUP(A12,'Cadastro Geral Campistas'!$A:$R,7,0),"")</f>
        <v>49</v>
      </c>
      <c r="F12" s="18" t="str">
        <f>IFERROR(VLOOKUP(A12,'Cadastro Geral Campistas'!$A:$R,9,0),"")</f>
        <v>GOiania</v>
      </c>
      <c r="G12" s="19" t="str">
        <f>IFERROR(VLOOKUP(A12,'Cadastro Geral Campistas'!$A:$R,3,0),"")</f>
        <v>M</v>
      </c>
      <c r="H12" s="18" t="str">
        <f>IFERROR(VLOOKUP(A12,'Cadastro Geral Campistas'!$A:$R,8,0),"")</f>
        <v>+55 (62) 98113-1375</v>
      </c>
      <c r="I12" s="102" t="str">
        <f>IF(AND(IFERROR(VLOOKUP(A12,'Cadastro Geral Campistas'!$A:$R,18,0),0)&gt;0,COUNTIF($A$9:$A$24,IFERROR(VLOOKUP(A12,'Cadastro Geral Campistas'!$A:$R,18,0),0))&gt;0),"⚠️ CONFLITO! Cônjuge na mesma tribo: "&amp;IFERROR(VLOOKUP(IFERROR(VLOOKUP(A12,'Cadastro Geral Campistas'!$A:$R,18,0),0),'Cadastro Geral Campistas'!$A:$R,2,""),""),TRIM(IF(AND(IFERROR(VLOOKUP(A12,'Cadastro Geral Campistas'!$A:$R,10,0),"")&lt;&gt;"",LOWER(TRIM(IFERROR(VLOOKUP(A12,'Cadastro Geral Campistas'!$A:$R,10,0),"")))&lt;&gt;"não",LOWER(TRIM(IFERROR(VLOOKUP(A12,'Cadastro Geral Campistas'!$A:$R,10,0),"")))&lt;&gt;"nao",LOWER(TRIM(IFERROR(VLOOKUP(A12,'Cadastro Geral Campistas'!$A:$R,10,0),"")))&lt;&gt;"0"),IFERROR(VLOOKUP(A12,'Cadastro Geral Campistas'!$A:$R,10,0),"")&amp;IF(AND(IFERROR(VLOOKUP(A12,'Cadastro Geral Campistas'!$A:$R,15,0),"")&lt;&gt;"",LOWER(TRIM(IFERROR(VLOOKUP(A12,'Cadastro Geral Campistas'!$A:$R,15,0),"")))&lt;&gt;"não",LOWER(TRIM(IFERROR(VLOOKUP(A12,'Cadastro Geral Campistas'!$A:$R,15,0),"")))&lt;&gt;"nao",LOWER(TRIM(IFERROR(VLOOKUP(A12,'Cadastro Geral Campistas'!$A:$R,15,0),"")))&lt;&gt;"0")," | Alergia: "&amp;IFERROR(VLOOKUP(A12,'Cadastro Geral Campistas'!$A:$R,15,0),""),""),IF(AND(IFERROR(VLOOKUP(A12,'Cadastro Geral Campistas'!$A:$R,15,0),"")&lt;&gt;"",LOWER(TRIM(IFERROR(VLOOKUP(A12,'Cadastro Geral Campistas'!$A:$R,15,0),"")))&lt;&gt;"não",LOWER(TRIM(IFERROR(VLOOKUP(A12,'Cadastro Geral Campistas'!$A:$R,15,0),"")))&lt;&gt;"nao",LOWER(TRIM(IFERROR(VLOOKUP(A12,'Cadastro Geral Campistas'!$A:$R,15,0),"")))&lt;&gt;"0"),"Alergia: "&amp;IFERROR(VLOOKUP(A12,'Cadastro Geral Campistas'!$A:$R,15,0),""),""))))</f>
        <v>Thiago Lopes Damasceno</v>
      </c>
      <c r="J12" s="60" t="str">
        <f>IFERROR(VLOOKUP(A12,'Cadastro Geral Campistas'!$A:$R,4,0),"")</f>
        <v>F</v>
      </c>
    </row>
    <row r="13" spans="1:10" ht="18" customHeight="1" x14ac:dyDescent="0.55000000000000004">
      <c r="A13" s="57">
        <v>106</v>
      </c>
      <c r="B13" s="7" t="str">
        <f>IFERROR(VLOOKUP(A13,'Cadastro Geral Campistas'!$A:$R,2,0),"")</f>
        <v>Neide Adriana de Souza Caixeta</v>
      </c>
      <c r="C13" s="6">
        <f>IFERROR(VLOOKUP(A13,'Cadastro Geral Campistas'!$A:$R,5,0),"")</f>
        <v>74</v>
      </c>
      <c r="D13" s="6">
        <f>IFERROR(VLOOKUP(A13,'Cadastro Geral Campistas'!$A:$R,6,0),"")</f>
        <v>1.62</v>
      </c>
      <c r="E13" s="6">
        <f>IFERROR(VLOOKUP(A13,'Cadastro Geral Campistas'!$A:$R,7,0),"")</f>
        <v>51</v>
      </c>
      <c r="F13" s="7" t="str">
        <f>IFERROR(VLOOKUP(A13,'Cadastro Geral Campistas'!$A:$R,9,0),"")</f>
        <v>Vianópolis</v>
      </c>
      <c r="G13" s="6" t="str">
        <f>IFERROR(VLOOKUP(A13,'Cadastro Geral Campistas'!$A:$R,3,0),"")</f>
        <v>M</v>
      </c>
      <c r="H13" s="7" t="str">
        <f>IFERROR(VLOOKUP(A13,'Cadastro Geral Campistas'!$A:$R,8,0),"")</f>
        <v>+55 (62) 99996-7283</v>
      </c>
      <c r="I13" s="101" t="str">
        <f>IF(AND(IFERROR(VLOOKUP(A13,'Cadastro Geral Campistas'!$A:$R,18,0),0)&gt;0,COUNTIF($A$9:$A$24,IFERROR(VLOOKUP(A13,'Cadastro Geral Campistas'!$A:$R,18,0),0))&gt;0),"⚠️ CONFLITO! Cônjuge na mesma tribo: "&amp;IFERROR(VLOOKUP(IFERROR(VLOOKUP(A13,'Cadastro Geral Campistas'!$A:$R,18,0),0),'Cadastro Geral Campistas'!$A:$R,2,""),""),TRIM(IF(AND(IFERROR(VLOOKUP(A13,'Cadastro Geral Campistas'!$A:$R,10,0),"")&lt;&gt;"",LOWER(TRIM(IFERROR(VLOOKUP(A13,'Cadastro Geral Campistas'!$A:$R,10,0),"")))&lt;&gt;"não",LOWER(TRIM(IFERROR(VLOOKUP(A13,'Cadastro Geral Campistas'!$A:$R,10,0),"")))&lt;&gt;"nao",LOWER(TRIM(IFERROR(VLOOKUP(A13,'Cadastro Geral Campistas'!$A:$R,10,0),"")))&lt;&gt;"0"),IFERROR(VLOOKUP(A13,'Cadastro Geral Campistas'!$A:$R,10,0),"")&amp;IF(AND(IFERROR(VLOOKUP(A13,'Cadastro Geral Campistas'!$A:$R,15,0),"")&lt;&gt;"",LOWER(TRIM(IFERROR(VLOOKUP(A13,'Cadastro Geral Campistas'!$A:$R,15,0),"")))&lt;&gt;"não",LOWER(TRIM(IFERROR(VLOOKUP(A13,'Cadastro Geral Campistas'!$A:$R,15,0),"")))&lt;&gt;"nao",LOWER(TRIM(IFERROR(VLOOKUP(A13,'Cadastro Geral Campistas'!$A:$R,15,0),"")))&lt;&gt;"0")," | Alergia: "&amp;IFERROR(VLOOKUP(A13,'Cadastro Geral Campistas'!$A:$R,15,0),""),""),IF(AND(IFERROR(VLOOKUP(A13,'Cadastro Geral Campistas'!$A:$R,15,0),"")&lt;&gt;"",LOWER(TRIM(IFERROR(VLOOKUP(A13,'Cadastro Geral Campistas'!$A:$R,15,0),"")))&lt;&gt;"não",LOWER(TRIM(IFERROR(VLOOKUP(A13,'Cadastro Geral Campistas'!$A:$R,15,0),"")))&lt;&gt;"nao",LOWER(TRIM(IFERROR(VLOOKUP(A13,'Cadastro Geral Campistas'!$A:$R,15,0),"")))&lt;&gt;"0"),"Alergia: "&amp;IFERROR(VLOOKUP(A13,'Cadastro Geral Campistas'!$A:$R,15,0),""),""))))</f>
        <v/>
      </c>
      <c r="J13" s="58" t="str">
        <f>IFERROR(VLOOKUP(A13,'Cadastro Geral Campistas'!$A:$R,4,0),"")</f>
        <v>F</v>
      </c>
    </row>
    <row r="14" spans="1:10" ht="18" customHeight="1" x14ac:dyDescent="0.55000000000000004">
      <c r="A14" s="59">
        <v>110</v>
      </c>
      <c r="B14" s="18" t="str">
        <f>IFERROR(VLOOKUP(A14,'Cadastro Geral Campistas'!$A:$R,2,0),"")</f>
        <v>Nádia Regina Coelho Moura</v>
      </c>
      <c r="C14" s="19">
        <f>IFERROR(VLOOKUP(A14,'Cadastro Geral Campistas'!$A:$R,5,0),"")</f>
        <v>60</v>
      </c>
      <c r="D14" s="19">
        <f>IFERROR(VLOOKUP(A14,'Cadastro Geral Campistas'!$A:$R,6,0),"")</f>
        <v>1.67</v>
      </c>
      <c r="E14" s="19">
        <f>IFERROR(VLOOKUP(A14,'Cadastro Geral Campistas'!$A:$R,7,0),"")</f>
        <v>34</v>
      </c>
      <c r="F14" s="18" t="str">
        <f>IFERROR(VLOOKUP(A14,'Cadastro Geral Campistas'!$A:$R,9,0),"")</f>
        <v>goiânia</v>
      </c>
      <c r="G14" s="19" t="str">
        <f>IFERROR(VLOOKUP(A14,'Cadastro Geral Campistas'!$A:$R,3,0),"")</f>
        <v>PP</v>
      </c>
      <c r="H14" s="18" t="str">
        <f>IFERROR(VLOOKUP(A14,'Cadastro Geral Campistas'!$A:$R,8,0),"")</f>
        <v>+55 (62) 98557-0108</v>
      </c>
      <c r="I14" s="102" t="str">
        <f>IF(AND(IFERROR(VLOOKUP(A14,'Cadastro Geral Campistas'!$A:$R,18,0),0)&gt;0,COUNTIF($A$9:$A$24,IFERROR(VLOOKUP(A14,'Cadastro Geral Campistas'!$A:$R,18,0),0))&gt;0),"⚠️ CONFLITO! Cônjuge na mesma tribo: "&amp;IFERROR(VLOOKUP(IFERROR(VLOOKUP(A14,'Cadastro Geral Campistas'!$A:$R,18,0),0),'Cadastro Geral Campistas'!$A:$R,2,""),""),TRIM(IF(AND(IFERROR(VLOOKUP(A14,'Cadastro Geral Campistas'!$A:$R,10,0),"")&lt;&gt;"",LOWER(TRIM(IFERROR(VLOOKUP(A14,'Cadastro Geral Campistas'!$A:$R,10,0),"")))&lt;&gt;"não",LOWER(TRIM(IFERROR(VLOOKUP(A14,'Cadastro Geral Campistas'!$A:$R,10,0),"")))&lt;&gt;"nao",LOWER(TRIM(IFERROR(VLOOKUP(A14,'Cadastro Geral Campistas'!$A:$R,10,0),"")))&lt;&gt;"0"),IFERROR(VLOOKUP(A14,'Cadastro Geral Campistas'!$A:$R,10,0),"")&amp;IF(AND(IFERROR(VLOOKUP(A14,'Cadastro Geral Campistas'!$A:$R,15,0),"")&lt;&gt;"",LOWER(TRIM(IFERROR(VLOOKUP(A14,'Cadastro Geral Campistas'!$A:$R,15,0),"")))&lt;&gt;"não",LOWER(TRIM(IFERROR(VLOOKUP(A14,'Cadastro Geral Campistas'!$A:$R,15,0),"")))&lt;&gt;"nao",LOWER(TRIM(IFERROR(VLOOKUP(A14,'Cadastro Geral Campistas'!$A:$R,15,0),"")))&lt;&gt;"0")," | Alergia: "&amp;IFERROR(VLOOKUP(A14,'Cadastro Geral Campistas'!$A:$R,15,0),""),""),IF(AND(IFERROR(VLOOKUP(A14,'Cadastro Geral Campistas'!$A:$R,15,0),"")&lt;&gt;"",LOWER(TRIM(IFERROR(VLOOKUP(A14,'Cadastro Geral Campistas'!$A:$R,15,0),"")))&lt;&gt;"não",LOWER(TRIM(IFERROR(VLOOKUP(A14,'Cadastro Geral Campistas'!$A:$R,15,0),"")))&lt;&gt;"nao",LOWER(TRIM(IFERROR(VLOOKUP(A14,'Cadastro Geral Campistas'!$A:$R,15,0),"")))&lt;&gt;"0"),"Alergia: "&amp;IFERROR(VLOOKUP(A14,'Cadastro Geral Campistas'!$A:$R,15,0),""),""))))</f>
        <v>Alergia: hidrocortisona, abelhas, mosquitos</v>
      </c>
      <c r="J14" s="60" t="str">
        <f>IFERROR(VLOOKUP(A14,'Cadastro Geral Campistas'!$A:$R,4,0),"")</f>
        <v>F</v>
      </c>
    </row>
    <row r="15" spans="1:10" ht="18" customHeight="1" x14ac:dyDescent="0.55000000000000004">
      <c r="A15" s="57">
        <v>101</v>
      </c>
      <c r="B15" s="7" t="str">
        <f>IFERROR(VLOOKUP(A15,'Cadastro Geral Campistas'!$A:$R,2,0),"")</f>
        <v>mariana linhares</v>
      </c>
      <c r="C15" s="6">
        <f>IFERROR(VLOOKUP(A15,'Cadastro Geral Campistas'!$A:$R,5,0),"")</f>
        <v>60</v>
      </c>
      <c r="D15" s="6">
        <f>IFERROR(VLOOKUP(A15,'Cadastro Geral Campistas'!$A:$R,6,0),"")</f>
        <v>1.68</v>
      </c>
      <c r="E15" s="6">
        <f>IFERROR(VLOOKUP(A15,'Cadastro Geral Campistas'!$A:$R,7,0),"")</f>
        <v>34</v>
      </c>
      <c r="F15" s="7" t="str">
        <f>IFERROR(VLOOKUP(A15,'Cadastro Geral Campistas'!$A:$R,9,0),"")</f>
        <v>Goiânia</v>
      </c>
      <c r="G15" s="6" t="str">
        <f>IFERROR(VLOOKUP(A15,'Cadastro Geral Campistas'!$A:$R,3,0),"")</f>
        <v>P</v>
      </c>
      <c r="H15" s="7" t="str">
        <f>IFERROR(VLOOKUP(A15,'Cadastro Geral Campistas'!$A:$R,8,0),"")</f>
        <v>+55 (62) 99433-5080</v>
      </c>
      <c r="I15" s="101" t="str">
        <f>IF(AND(IFERROR(VLOOKUP(A15,'Cadastro Geral Campistas'!$A:$R,18,0),0)&gt;0,COUNTIF($A$9:$A$24,IFERROR(VLOOKUP(A15,'Cadastro Geral Campistas'!$A:$R,18,0),0))&gt;0),"⚠️ CONFLITO! Cônjuge na mesma tribo: "&amp;IFERROR(VLOOKUP(IFERROR(VLOOKUP(A15,'Cadastro Geral Campistas'!$A:$R,18,0),0),'Cadastro Geral Campistas'!$A:$R,2,""),""),TRIM(IF(AND(IFERROR(VLOOKUP(A15,'Cadastro Geral Campistas'!$A:$R,10,0),"")&lt;&gt;"",LOWER(TRIM(IFERROR(VLOOKUP(A15,'Cadastro Geral Campistas'!$A:$R,10,0),"")))&lt;&gt;"não",LOWER(TRIM(IFERROR(VLOOKUP(A15,'Cadastro Geral Campistas'!$A:$R,10,0),"")))&lt;&gt;"nao",LOWER(TRIM(IFERROR(VLOOKUP(A15,'Cadastro Geral Campistas'!$A:$R,10,0),"")))&lt;&gt;"0"),IFERROR(VLOOKUP(A15,'Cadastro Geral Campistas'!$A:$R,10,0),"")&amp;IF(AND(IFERROR(VLOOKUP(A15,'Cadastro Geral Campistas'!$A:$R,15,0),"")&lt;&gt;"",LOWER(TRIM(IFERROR(VLOOKUP(A15,'Cadastro Geral Campistas'!$A:$R,15,0),"")))&lt;&gt;"não",LOWER(TRIM(IFERROR(VLOOKUP(A15,'Cadastro Geral Campistas'!$A:$R,15,0),"")))&lt;&gt;"nao",LOWER(TRIM(IFERROR(VLOOKUP(A15,'Cadastro Geral Campistas'!$A:$R,15,0),"")))&lt;&gt;"0")," | Alergia: "&amp;IFERROR(VLOOKUP(A15,'Cadastro Geral Campistas'!$A:$R,15,0),""),""),IF(AND(IFERROR(VLOOKUP(A15,'Cadastro Geral Campistas'!$A:$R,15,0),"")&lt;&gt;"",LOWER(TRIM(IFERROR(VLOOKUP(A15,'Cadastro Geral Campistas'!$A:$R,15,0),"")))&lt;&gt;"não",LOWER(TRIM(IFERROR(VLOOKUP(A15,'Cadastro Geral Campistas'!$A:$R,15,0),"")))&lt;&gt;"nao",LOWER(TRIM(IFERROR(VLOOKUP(A15,'Cadastro Geral Campistas'!$A:$R,15,0),"")))&lt;&gt;"0"),"Alergia: "&amp;IFERROR(VLOOKUP(A15,'Cadastro Geral Campistas'!$A:$R,15,0),""),""))))</f>
        <v>Pedro | Alergia: sou intolerante a glúten/lactose</v>
      </c>
      <c r="J15" s="58" t="str">
        <f>IFERROR(VLOOKUP(A15,'Cadastro Geral Campistas'!$A:$R,4,0),"")</f>
        <v>F</v>
      </c>
    </row>
    <row r="16" spans="1:10" ht="18" customHeight="1" x14ac:dyDescent="0.55000000000000004">
      <c r="A16" s="59">
        <v>129</v>
      </c>
      <c r="B16" s="18" t="str">
        <f>IFERROR(VLOOKUP(A16,'Cadastro Geral Campistas'!$A:$R,2,0),"")</f>
        <v>thais borges bonfim</v>
      </c>
      <c r="C16" s="19">
        <f>IFERROR(VLOOKUP(A16,'Cadastro Geral Campistas'!$A:$R,5,0),"")</f>
        <v>91</v>
      </c>
      <c r="D16" s="19">
        <f>IFERROR(VLOOKUP(A16,'Cadastro Geral Campistas'!$A:$R,6,0),"")</f>
        <v>1.6</v>
      </c>
      <c r="E16" s="19">
        <f>IFERROR(VLOOKUP(A16,'Cadastro Geral Campistas'!$A:$R,7,0),"")</f>
        <v>23</v>
      </c>
      <c r="F16" s="18" t="str">
        <f>IFERROR(VLOOKUP(A16,'Cadastro Geral Campistas'!$A:$R,9,0),"")</f>
        <v>goiania</v>
      </c>
      <c r="G16" s="19" t="str">
        <f>IFERROR(VLOOKUP(A16,'Cadastro Geral Campistas'!$A:$R,3,0),"")</f>
        <v>G</v>
      </c>
      <c r="H16" s="18" t="str">
        <f>IFERROR(VLOOKUP(A16,'Cadastro Geral Campistas'!$A:$R,8,0),"")</f>
        <v>+55 (62) 99204-2489</v>
      </c>
      <c r="I16" s="102" t="str">
        <f>IF(AND(IFERROR(VLOOKUP(A16,'Cadastro Geral Campistas'!$A:$R,18,0),0)&gt;0,COUNTIF($A$9:$A$24,IFERROR(VLOOKUP(A16,'Cadastro Geral Campistas'!$A:$R,18,0),0))&gt;0),"⚠️ CONFLITO! Cônjuge na mesma tribo: "&amp;IFERROR(VLOOKUP(IFERROR(VLOOKUP(A16,'Cadastro Geral Campistas'!$A:$R,18,0),0),'Cadastro Geral Campistas'!$A:$R,2,""),""),TRIM(IF(AND(IFERROR(VLOOKUP(A16,'Cadastro Geral Campistas'!$A:$R,10,0),"")&lt;&gt;"",LOWER(TRIM(IFERROR(VLOOKUP(A16,'Cadastro Geral Campistas'!$A:$R,10,0),"")))&lt;&gt;"não",LOWER(TRIM(IFERROR(VLOOKUP(A16,'Cadastro Geral Campistas'!$A:$R,10,0),"")))&lt;&gt;"nao",LOWER(TRIM(IFERROR(VLOOKUP(A16,'Cadastro Geral Campistas'!$A:$R,10,0),"")))&lt;&gt;"0"),IFERROR(VLOOKUP(A16,'Cadastro Geral Campistas'!$A:$R,10,0),"")&amp;IF(AND(IFERROR(VLOOKUP(A16,'Cadastro Geral Campistas'!$A:$R,15,0),"")&lt;&gt;"",LOWER(TRIM(IFERROR(VLOOKUP(A16,'Cadastro Geral Campistas'!$A:$R,15,0),"")))&lt;&gt;"não",LOWER(TRIM(IFERROR(VLOOKUP(A16,'Cadastro Geral Campistas'!$A:$R,15,0),"")))&lt;&gt;"nao",LOWER(TRIM(IFERROR(VLOOKUP(A16,'Cadastro Geral Campistas'!$A:$R,15,0),"")))&lt;&gt;"0")," | Alergia: "&amp;IFERROR(VLOOKUP(A16,'Cadastro Geral Campistas'!$A:$R,15,0),""),""),IF(AND(IFERROR(VLOOKUP(A16,'Cadastro Geral Campistas'!$A:$R,15,0),"")&lt;&gt;"",LOWER(TRIM(IFERROR(VLOOKUP(A16,'Cadastro Geral Campistas'!$A:$R,15,0),"")))&lt;&gt;"não",LOWER(TRIM(IFERROR(VLOOKUP(A16,'Cadastro Geral Campistas'!$A:$R,15,0),"")))&lt;&gt;"nao",LOWER(TRIM(IFERROR(VLOOKUP(A16,'Cadastro Geral Campistas'!$A:$R,15,0),"")))&lt;&gt;"0"),"Alergia: "&amp;IFERROR(VLOOKUP(A16,'Cadastro Geral Campistas'!$A:$R,15,0),""),""))))</f>
        <v/>
      </c>
      <c r="J16" s="60" t="str">
        <f>IFERROR(VLOOKUP(A16,'Cadastro Geral Campistas'!$A:$R,4,0),"")</f>
        <v>F</v>
      </c>
    </row>
    <row r="17" spans="1:10" ht="18" customHeight="1" x14ac:dyDescent="0.55000000000000004">
      <c r="A17" s="57">
        <v>27</v>
      </c>
      <c r="B17" s="7" t="str">
        <f>IFERROR(VLOOKUP(A17,'Cadastro Geral Campistas'!$A:$R,2,0),"")</f>
        <v>CLEONIS Pereira de Castro</v>
      </c>
      <c r="C17" s="6">
        <f>IFERROR(VLOOKUP(A17,'Cadastro Geral Campistas'!$A:$R,5,0),"")</f>
        <v>78</v>
      </c>
      <c r="D17" s="6">
        <f>IFERROR(VLOOKUP(A17,'Cadastro Geral Campistas'!$A:$R,6,0),"")</f>
        <v>1.72</v>
      </c>
      <c r="E17" s="6">
        <f>IFERROR(VLOOKUP(A17,'Cadastro Geral Campistas'!$A:$R,7,0),"")</f>
        <v>66</v>
      </c>
      <c r="F17" s="7" t="str">
        <f>IFERROR(VLOOKUP(A17,'Cadastro Geral Campistas'!$A:$R,9,0),"")</f>
        <v>Goiânia</v>
      </c>
      <c r="G17" s="6" t="str">
        <f>IFERROR(VLOOKUP(A17,'Cadastro Geral Campistas'!$A:$R,3,0),"")</f>
        <v>G</v>
      </c>
      <c r="H17" s="7" t="str">
        <f>IFERROR(VLOOKUP(A17,'Cadastro Geral Campistas'!$A:$R,8,0),"")</f>
        <v>+55 (62) 99958-1174</v>
      </c>
      <c r="I17" s="101" t="str">
        <f>IF(AND(IFERROR(VLOOKUP(A17,'Cadastro Geral Campistas'!$A:$R,18,0),0)&gt;0,COUNTIF($A$9:$A$24,IFERROR(VLOOKUP(A17,'Cadastro Geral Campistas'!$A:$R,18,0),0))&gt;0),"⚠️ CONFLITO! Cônjuge na mesma tribo: "&amp;IFERROR(VLOOKUP(IFERROR(VLOOKUP(A17,'Cadastro Geral Campistas'!$A:$R,18,0),0),'Cadastro Geral Campistas'!$A:$R,2,""),""),TRIM(IF(AND(IFERROR(VLOOKUP(A17,'Cadastro Geral Campistas'!$A:$R,10,0),"")&lt;&gt;"",LOWER(TRIM(IFERROR(VLOOKUP(A17,'Cadastro Geral Campistas'!$A:$R,10,0),"")))&lt;&gt;"não",LOWER(TRIM(IFERROR(VLOOKUP(A17,'Cadastro Geral Campistas'!$A:$R,10,0),"")))&lt;&gt;"nao",LOWER(TRIM(IFERROR(VLOOKUP(A17,'Cadastro Geral Campistas'!$A:$R,10,0),"")))&lt;&gt;"0"),IFERROR(VLOOKUP(A17,'Cadastro Geral Campistas'!$A:$R,10,0),"")&amp;IF(AND(IFERROR(VLOOKUP(A17,'Cadastro Geral Campistas'!$A:$R,15,0),"")&lt;&gt;"",LOWER(TRIM(IFERROR(VLOOKUP(A17,'Cadastro Geral Campistas'!$A:$R,15,0),"")))&lt;&gt;"não",LOWER(TRIM(IFERROR(VLOOKUP(A17,'Cadastro Geral Campistas'!$A:$R,15,0),"")))&lt;&gt;"nao",LOWER(TRIM(IFERROR(VLOOKUP(A17,'Cadastro Geral Campistas'!$A:$R,15,0),"")))&lt;&gt;"0")," | Alergia: "&amp;IFERROR(VLOOKUP(A17,'Cadastro Geral Campistas'!$A:$R,15,0),""),""),IF(AND(IFERROR(VLOOKUP(A17,'Cadastro Geral Campistas'!$A:$R,15,0),"")&lt;&gt;"",LOWER(TRIM(IFERROR(VLOOKUP(A17,'Cadastro Geral Campistas'!$A:$R,15,0),"")))&lt;&gt;"não",LOWER(TRIM(IFERROR(VLOOKUP(A17,'Cadastro Geral Campistas'!$A:$R,15,0),"")))&lt;&gt;"nao",LOWER(TRIM(IFERROR(VLOOKUP(A17,'Cadastro Geral Campistas'!$A:$R,15,0),"")))&lt;&gt;"0"),"Alergia: "&amp;IFERROR(VLOOKUP(A17,'Cadastro Geral Campistas'!$A:$R,15,0),""),""))))</f>
        <v>Sim</v>
      </c>
      <c r="J17" s="58" t="str">
        <f>IFERROR(VLOOKUP(A17,'Cadastro Geral Campistas'!$A:$R,4,0),"")</f>
        <v>M</v>
      </c>
    </row>
    <row r="18" spans="1:10" ht="18" customHeight="1" x14ac:dyDescent="0.55000000000000004">
      <c r="A18" s="55">
        <v>19</v>
      </c>
      <c r="B18" s="3" t="str">
        <f>IFERROR(VLOOKUP(A18,'Cadastro Geral Campistas'!$A:$R,2,0),"")</f>
        <v>Carlos Bruno Rodrigues</v>
      </c>
      <c r="C18" s="2">
        <f>IFERROR(VLOOKUP(A18,'Cadastro Geral Campistas'!$A:$R,5,0),"")</f>
        <v>89</v>
      </c>
      <c r="D18" s="2">
        <f>IFERROR(VLOOKUP(A18,'Cadastro Geral Campistas'!$A:$R,6,0),"")</f>
        <v>1.78</v>
      </c>
      <c r="E18" s="2">
        <f>IFERROR(VLOOKUP(A18,'Cadastro Geral Campistas'!$A:$R,7,0),"")</f>
        <v>49</v>
      </c>
      <c r="F18" s="3" t="str">
        <f>IFERROR(VLOOKUP(A18,'Cadastro Geral Campistas'!$A:$R,9,0),"")</f>
        <v>Goiânia</v>
      </c>
      <c r="G18" s="2" t="str">
        <f>IFERROR(VLOOKUP(A18,'Cadastro Geral Campistas'!$A:$R,3,0),"")</f>
        <v>GG</v>
      </c>
      <c r="H18" s="3" t="str">
        <f>IFERROR(VLOOKUP(A18,'Cadastro Geral Campistas'!$A:$R,8,0),"")</f>
        <v>+55 (62) 99639-1240</v>
      </c>
      <c r="I18" s="103" t="str">
        <f>IF(AND(IFERROR(VLOOKUP(A18,'Cadastro Geral Campistas'!$A:$R,18,0),0)&gt;0,COUNTIF($A$9:$A$24,IFERROR(VLOOKUP(A18,'Cadastro Geral Campistas'!$A:$R,18,0),0))&gt;0),"⚠️ CONFLITO! Cônjuge na mesma tribo: "&amp;IFERROR(VLOOKUP(IFERROR(VLOOKUP(A18,'Cadastro Geral Campistas'!$A:$R,18,0),0),'Cadastro Geral Campistas'!$A:$R,2,""),""),TRIM(IF(AND(IFERROR(VLOOKUP(A18,'Cadastro Geral Campistas'!$A:$R,10,0),"")&lt;&gt;"",LOWER(TRIM(IFERROR(VLOOKUP(A18,'Cadastro Geral Campistas'!$A:$R,10,0),"")))&lt;&gt;"não",LOWER(TRIM(IFERROR(VLOOKUP(A18,'Cadastro Geral Campistas'!$A:$R,10,0),"")))&lt;&gt;"nao",LOWER(TRIM(IFERROR(VLOOKUP(A18,'Cadastro Geral Campistas'!$A:$R,10,0),"")))&lt;&gt;"0"),IFERROR(VLOOKUP(A18,'Cadastro Geral Campistas'!$A:$R,10,0),"")&amp;IF(AND(IFERROR(VLOOKUP(A18,'Cadastro Geral Campistas'!$A:$R,15,0),"")&lt;&gt;"",LOWER(TRIM(IFERROR(VLOOKUP(A18,'Cadastro Geral Campistas'!$A:$R,15,0),"")))&lt;&gt;"não",LOWER(TRIM(IFERROR(VLOOKUP(A18,'Cadastro Geral Campistas'!$A:$R,15,0),"")))&lt;&gt;"nao",LOWER(TRIM(IFERROR(VLOOKUP(A18,'Cadastro Geral Campistas'!$A:$R,15,0),"")))&lt;&gt;"0")," | Alergia: "&amp;IFERROR(VLOOKUP(A18,'Cadastro Geral Campistas'!$A:$R,15,0),""),""),IF(AND(IFERROR(VLOOKUP(A18,'Cadastro Geral Campistas'!$A:$R,15,0),"")&lt;&gt;"",LOWER(TRIM(IFERROR(VLOOKUP(A18,'Cadastro Geral Campistas'!$A:$R,15,0),"")))&lt;&gt;"não",LOWER(TRIM(IFERROR(VLOOKUP(A18,'Cadastro Geral Campistas'!$A:$R,15,0),"")))&lt;&gt;"nao",LOWER(TRIM(IFERROR(VLOOKUP(A18,'Cadastro Geral Campistas'!$A:$R,15,0),"")))&lt;&gt;"0"),"Alergia: "&amp;IFERROR(VLOOKUP(A18,'Cadastro Geral Campistas'!$A:$R,15,0),""),""))))</f>
        <v>esposa Karla Regina da Silva Rodrigues</v>
      </c>
      <c r="J18" s="56" t="str">
        <f>IFERROR(VLOOKUP(A18,'Cadastro Geral Campistas'!$A:$R,4,0),"")</f>
        <v>M</v>
      </c>
    </row>
    <row r="19" spans="1:10" ht="18" customHeight="1" x14ac:dyDescent="0.55000000000000004">
      <c r="A19" s="57">
        <v>63</v>
      </c>
      <c r="B19" s="7" t="str">
        <f>IFERROR(VLOOKUP(A19,'Cadastro Geral Campistas'!$A:$R,2,0),"")</f>
        <v>João adalberth Pereira dos Santos</v>
      </c>
      <c r="C19" s="6">
        <f>IFERROR(VLOOKUP(A19,'Cadastro Geral Campistas'!$A:$R,5,0),"")</f>
        <v>86</v>
      </c>
      <c r="D19" s="6">
        <f>IFERROR(VLOOKUP(A19,'Cadastro Geral Campistas'!$A:$R,6,0),"")</f>
        <v>1.81</v>
      </c>
      <c r="E19" s="6">
        <f>IFERROR(VLOOKUP(A19,'Cadastro Geral Campistas'!$A:$R,7,0),"")</f>
        <v>24</v>
      </c>
      <c r="F19" s="7" t="str">
        <f>IFERROR(VLOOKUP(A19,'Cadastro Geral Campistas'!$A:$R,9,0),"")</f>
        <v>Goiânia</v>
      </c>
      <c r="G19" s="6" t="str">
        <f>IFERROR(VLOOKUP(A19,'Cadastro Geral Campistas'!$A:$R,3,0),"")</f>
        <v>G</v>
      </c>
      <c r="H19" s="7" t="str">
        <f>IFERROR(VLOOKUP(A19,'Cadastro Geral Campistas'!$A:$R,8,0),"")</f>
        <v>+55 (62) 98239-9771</v>
      </c>
      <c r="I19" s="101" t="str">
        <f>IF(AND(IFERROR(VLOOKUP(A19,'Cadastro Geral Campistas'!$A:$R,18,0),0)&gt;0,COUNTIF($A$9:$A$24,IFERROR(VLOOKUP(A19,'Cadastro Geral Campistas'!$A:$R,18,0),0))&gt;0),"⚠️ CONFLITO! Cônjuge na mesma tribo: "&amp;IFERROR(VLOOKUP(IFERROR(VLOOKUP(A19,'Cadastro Geral Campistas'!$A:$R,18,0),0),'Cadastro Geral Campistas'!$A:$R,2,""),""),TRIM(IF(AND(IFERROR(VLOOKUP(A19,'Cadastro Geral Campistas'!$A:$R,10,0),"")&lt;&gt;"",LOWER(TRIM(IFERROR(VLOOKUP(A19,'Cadastro Geral Campistas'!$A:$R,10,0),"")))&lt;&gt;"não",LOWER(TRIM(IFERROR(VLOOKUP(A19,'Cadastro Geral Campistas'!$A:$R,10,0),"")))&lt;&gt;"nao",LOWER(TRIM(IFERROR(VLOOKUP(A19,'Cadastro Geral Campistas'!$A:$R,10,0),"")))&lt;&gt;"0"),IFERROR(VLOOKUP(A19,'Cadastro Geral Campistas'!$A:$R,10,0),"")&amp;IF(AND(IFERROR(VLOOKUP(A19,'Cadastro Geral Campistas'!$A:$R,15,0),"")&lt;&gt;"",LOWER(TRIM(IFERROR(VLOOKUP(A19,'Cadastro Geral Campistas'!$A:$R,15,0),"")))&lt;&gt;"não",LOWER(TRIM(IFERROR(VLOOKUP(A19,'Cadastro Geral Campistas'!$A:$R,15,0),"")))&lt;&gt;"nao",LOWER(TRIM(IFERROR(VLOOKUP(A19,'Cadastro Geral Campistas'!$A:$R,15,0),"")))&lt;&gt;"0")," | Alergia: "&amp;IFERROR(VLOOKUP(A19,'Cadastro Geral Campistas'!$A:$R,15,0),""),""),IF(AND(IFERROR(VLOOKUP(A19,'Cadastro Geral Campistas'!$A:$R,15,0),"")&lt;&gt;"",LOWER(TRIM(IFERROR(VLOOKUP(A19,'Cadastro Geral Campistas'!$A:$R,15,0),"")))&lt;&gt;"não",LOWER(TRIM(IFERROR(VLOOKUP(A19,'Cadastro Geral Campistas'!$A:$R,15,0),"")))&lt;&gt;"nao",LOWER(TRIM(IFERROR(VLOOKUP(A19,'Cadastro Geral Campistas'!$A:$R,15,0),"")))&lt;&gt;"0"),"Alergia: "&amp;IFERROR(VLOOKUP(A19,'Cadastro Geral Campistas'!$A:$R,15,0),""),""))))</f>
        <v/>
      </c>
      <c r="J19" s="58" t="str">
        <f>IFERROR(VLOOKUP(A19,'Cadastro Geral Campistas'!$A:$R,4,0),"")</f>
        <v>M</v>
      </c>
    </row>
    <row r="20" spans="1:10" ht="18" customHeight="1" x14ac:dyDescent="0.55000000000000004">
      <c r="A20" s="59">
        <v>116</v>
      </c>
      <c r="B20" s="18" t="str">
        <f>IFERROR(VLOOKUP(A20,'Cadastro Geral Campistas'!$A:$R,2,0),"")</f>
        <v>Pedro Quintiliano da Fonseca</v>
      </c>
      <c r="C20" s="19">
        <f>IFERROR(VLOOKUP(A20,'Cadastro Geral Campistas'!$A:$R,5,0),"")</f>
        <v>81</v>
      </c>
      <c r="D20" s="19">
        <f>IFERROR(VLOOKUP(A20,'Cadastro Geral Campistas'!$A:$R,6,0),"")</f>
        <v>1.8</v>
      </c>
      <c r="E20" s="19">
        <f>IFERROR(VLOOKUP(A20,'Cadastro Geral Campistas'!$A:$R,7,0),"")</f>
        <v>46</v>
      </c>
      <c r="F20" s="18" t="str">
        <f>IFERROR(VLOOKUP(A20,'Cadastro Geral Campistas'!$A:$R,9,0),"")</f>
        <v>Aracaju</v>
      </c>
      <c r="G20" s="19" t="str">
        <f>IFERROR(VLOOKUP(A20,'Cadastro Geral Campistas'!$A:$R,3,0),"")</f>
        <v>M</v>
      </c>
      <c r="H20" s="18" t="str">
        <f>IFERROR(VLOOKUP(A20,'Cadastro Geral Campistas'!$A:$R,8,0),"")</f>
        <v>+55 (79) 99971-5577</v>
      </c>
      <c r="I20" s="102" t="str">
        <f>IF(AND(IFERROR(VLOOKUP(A20,'Cadastro Geral Campistas'!$A:$R,18,0),0)&gt;0,COUNTIF($A$9:$A$24,IFERROR(VLOOKUP(A20,'Cadastro Geral Campistas'!$A:$R,18,0),0))&gt;0),"⚠️ CONFLITO! Cônjuge na mesma tribo: "&amp;IFERROR(VLOOKUP(IFERROR(VLOOKUP(A20,'Cadastro Geral Campistas'!$A:$R,18,0),0),'Cadastro Geral Campistas'!$A:$R,2,""),""),TRIM(IF(AND(IFERROR(VLOOKUP(A20,'Cadastro Geral Campistas'!$A:$R,10,0),"")&lt;&gt;"",LOWER(TRIM(IFERROR(VLOOKUP(A20,'Cadastro Geral Campistas'!$A:$R,10,0),"")))&lt;&gt;"não",LOWER(TRIM(IFERROR(VLOOKUP(A20,'Cadastro Geral Campistas'!$A:$R,10,0),"")))&lt;&gt;"nao",LOWER(TRIM(IFERROR(VLOOKUP(A20,'Cadastro Geral Campistas'!$A:$R,10,0),"")))&lt;&gt;"0"),IFERROR(VLOOKUP(A20,'Cadastro Geral Campistas'!$A:$R,10,0),"")&amp;IF(AND(IFERROR(VLOOKUP(A20,'Cadastro Geral Campistas'!$A:$R,15,0),"")&lt;&gt;"",LOWER(TRIM(IFERROR(VLOOKUP(A20,'Cadastro Geral Campistas'!$A:$R,15,0),"")))&lt;&gt;"não",LOWER(TRIM(IFERROR(VLOOKUP(A20,'Cadastro Geral Campistas'!$A:$R,15,0),"")))&lt;&gt;"nao",LOWER(TRIM(IFERROR(VLOOKUP(A20,'Cadastro Geral Campistas'!$A:$R,15,0),"")))&lt;&gt;"0")," | Alergia: "&amp;IFERROR(VLOOKUP(A20,'Cadastro Geral Campistas'!$A:$R,15,0),""),""),IF(AND(IFERROR(VLOOKUP(A20,'Cadastro Geral Campistas'!$A:$R,15,0),"")&lt;&gt;"",LOWER(TRIM(IFERROR(VLOOKUP(A20,'Cadastro Geral Campistas'!$A:$R,15,0),"")))&lt;&gt;"não",LOWER(TRIM(IFERROR(VLOOKUP(A20,'Cadastro Geral Campistas'!$A:$R,15,0),"")))&lt;&gt;"nao",LOWER(TRIM(IFERROR(VLOOKUP(A20,'Cadastro Geral Campistas'!$A:$R,15,0),"")))&lt;&gt;"0"),"Alergia: "&amp;IFERROR(VLOOKUP(A20,'Cadastro Geral Campistas'!$A:$R,15,0),""),""))))</f>
        <v/>
      </c>
      <c r="J20" s="60" t="str">
        <f>IFERROR(VLOOKUP(A20,'Cadastro Geral Campistas'!$A:$R,4,0),"")</f>
        <v>M</v>
      </c>
    </row>
    <row r="21" spans="1:10" ht="18" customHeight="1" x14ac:dyDescent="0.55000000000000004">
      <c r="A21" s="57">
        <v>113</v>
      </c>
      <c r="B21" s="7" t="str">
        <f>IFERROR(VLOOKUP(A21,'Cadastro Geral Campistas'!$A:$R,2,0),"")</f>
        <v>Pedro igor Garcia Marques</v>
      </c>
      <c r="C21" s="6">
        <f>IFERROR(VLOOKUP(A21,'Cadastro Geral Campistas'!$A:$R,5,0),"")</f>
        <v>80</v>
      </c>
      <c r="D21" s="6">
        <f>IFERROR(VLOOKUP(A21,'Cadastro Geral Campistas'!$A:$R,6,0),"")</f>
        <v>1.71</v>
      </c>
      <c r="E21" s="6">
        <f>IFERROR(VLOOKUP(A21,'Cadastro Geral Campistas'!$A:$R,7,0),"")</f>
        <v>32</v>
      </c>
      <c r="F21" s="7" t="str">
        <f>IFERROR(VLOOKUP(A21,'Cadastro Geral Campistas'!$A:$R,9,0),"")</f>
        <v>Goiânia</v>
      </c>
      <c r="G21" s="6" t="str">
        <f>IFERROR(VLOOKUP(A21,'Cadastro Geral Campistas'!$A:$R,3,0),"")</f>
        <v>G</v>
      </c>
      <c r="H21" s="7" t="str">
        <f>IFERROR(VLOOKUP(A21,'Cadastro Geral Campistas'!$A:$R,8,0),"")</f>
        <v>+55 (62) 99861-3334</v>
      </c>
      <c r="I21" s="101" t="str">
        <f>IF(AND(IFERROR(VLOOKUP(A21,'Cadastro Geral Campistas'!$A:$R,18,0),0)&gt;0,COUNTIF($A$9:$A$24,IFERROR(VLOOKUP(A21,'Cadastro Geral Campistas'!$A:$R,18,0),0))&gt;0),"⚠️ CONFLITO! Cônjuge na mesma tribo: "&amp;IFERROR(VLOOKUP(IFERROR(VLOOKUP(A21,'Cadastro Geral Campistas'!$A:$R,18,0),0),'Cadastro Geral Campistas'!$A:$R,2,""),""),TRIM(IF(AND(IFERROR(VLOOKUP(A21,'Cadastro Geral Campistas'!$A:$R,10,0),"")&lt;&gt;"",LOWER(TRIM(IFERROR(VLOOKUP(A21,'Cadastro Geral Campistas'!$A:$R,10,0),"")))&lt;&gt;"não",LOWER(TRIM(IFERROR(VLOOKUP(A21,'Cadastro Geral Campistas'!$A:$R,10,0),"")))&lt;&gt;"nao",LOWER(TRIM(IFERROR(VLOOKUP(A21,'Cadastro Geral Campistas'!$A:$R,10,0),"")))&lt;&gt;"0"),IFERROR(VLOOKUP(A21,'Cadastro Geral Campistas'!$A:$R,10,0),"")&amp;IF(AND(IFERROR(VLOOKUP(A21,'Cadastro Geral Campistas'!$A:$R,15,0),"")&lt;&gt;"",LOWER(TRIM(IFERROR(VLOOKUP(A21,'Cadastro Geral Campistas'!$A:$R,15,0),"")))&lt;&gt;"não",LOWER(TRIM(IFERROR(VLOOKUP(A21,'Cadastro Geral Campistas'!$A:$R,15,0),"")))&lt;&gt;"nao",LOWER(TRIM(IFERROR(VLOOKUP(A21,'Cadastro Geral Campistas'!$A:$R,15,0),"")))&lt;&gt;"0")," | Alergia: "&amp;IFERROR(VLOOKUP(A21,'Cadastro Geral Campistas'!$A:$R,15,0),""),""),IF(AND(IFERROR(VLOOKUP(A21,'Cadastro Geral Campistas'!$A:$R,15,0),"")&lt;&gt;"",LOWER(TRIM(IFERROR(VLOOKUP(A21,'Cadastro Geral Campistas'!$A:$R,15,0),"")))&lt;&gt;"não",LOWER(TRIM(IFERROR(VLOOKUP(A21,'Cadastro Geral Campistas'!$A:$R,15,0),"")))&lt;&gt;"nao",LOWER(TRIM(IFERROR(VLOOKUP(A21,'Cadastro Geral Campistas'!$A:$R,15,0),"")))&lt;&gt;"0"),"Alergia: "&amp;IFERROR(VLOOKUP(A21,'Cadastro Geral Campistas'!$A:$R,15,0),""),""))))</f>
        <v/>
      </c>
      <c r="J21" s="58" t="str">
        <f>IFERROR(VLOOKUP(A21,'Cadastro Geral Campistas'!$A:$R,4,0),"")</f>
        <v>M</v>
      </c>
    </row>
    <row r="22" spans="1:10" ht="18" customHeight="1" x14ac:dyDescent="0.55000000000000004">
      <c r="A22" s="59">
        <v>121</v>
      </c>
      <c r="B22" s="18" t="str">
        <f>IFERROR(VLOOKUP(A22,'Cadastro Geral Campistas'!$A:$R,2,0),"")</f>
        <v>Rodrigo Ralliele Silva Almeida</v>
      </c>
      <c r="C22" s="19">
        <f>IFERROR(VLOOKUP(A22,'Cadastro Geral Campistas'!$A:$R,5,0),"")</f>
        <v>98</v>
      </c>
      <c r="D22" s="19">
        <f>IFERROR(VLOOKUP(A22,'Cadastro Geral Campistas'!$A:$R,6,0),"")</f>
        <v>1.83</v>
      </c>
      <c r="E22" s="19">
        <f>IFERROR(VLOOKUP(A22,'Cadastro Geral Campistas'!$A:$R,7,0),"")</f>
        <v>22</v>
      </c>
      <c r="F22" s="18" t="str">
        <f>IFERROR(VLOOKUP(A22,'Cadastro Geral Campistas'!$A:$R,9,0),"")</f>
        <v>GOIÂNIA</v>
      </c>
      <c r="G22" s="19" t="str">
        <f>IFERROR(VLOOKUP(A22,'Cadastro Geral Campistas'!$A:$R,3,0),"")</f>
        <v>G</v>
      </c>
      <c r="H22" s="18" t="str">
        <f>IFERROR(VLOOKUP(A22,'Cadastro Geral Campistas'!$A:$R,8,0),"")</f>
        <v>+55 (62) 95579-5583</v>
      </c>
      <c r="I22" s="102" t="str">
        <f>IF(AND(IFERROR(VLOOKUP(A22,'Cadastro Geral Campistas'!$A:$R,18,0),0)&gt;0,COUNTIF($A$9:$A$24,IFERROR(VLOOKUP(A22,'Cadastro Geral Campistas'!$A:$R,18,0),0))&gt;0),"⚠️ CONFLITO! Cônjuge na mesma tribo: "&amp;IFERROR(VLOOKUP(IFERROR(VLOOKUP(A22,'Cadastro Geral Campistas'!$A:$R,18,0),0),'Cadastro Geral Campistas'!$A:$R,2,""),""),TRIM(IF(AND(IFERROR(VLOOKUP(A22,'Cadastro Geral Campistas'!$A:$R,10,0),"")&lt;&gt;"",LOWER(TRIM(IFERROR(VLOOKUP(A22,'Cadastro Geral Campistas'!$A:$R,10,0),"")))&lt;&gt;"não",LOWER(TRIM(IFERROR(VLOOKUP(A22,'Cadastro Geral Campistas'!$A:$R,10,0),"")))&lt;&gt;"nao",LOWER(TRIM(IFERROR(VLOOKUP(A22,'Cadastro Geral Campistas'!$A:$R,10,0),"")))&lt;&gt;"0"),IFERROR(VLOOKUP(A22,'Cadastro Geral Campistas'!$A:$R,10,0),"")&amp;IF(AND(IFERROR(VLOOKUP(A22,'Cadastro Geral Campistas'!$A:$R,15,0),"")&lt;&gt;"",LOWER(TRIM(IFERROR(VLOOKUP(A22,'Cadastro Geral Campistas'!$A:$R,15,0),"")))&lt;&gt;"não",LOWER(TRIM(IFERROR(VLOOKUP(A22,'Cadastro Geral Campistas'!$A:$R,15,0),"")))&lt;&gt;"nao",LOWER(TRIM(IFERROR(VLOOKUP(A22,'Cadastro Geral Campistas'!$A:$R,15,0),"")))&lt;&gt;"0")," | Alergia: "&amp;IFERROR(VLOOKUP(A22,'Cadastro Geral Campistas'!$A:$R,15,0),""),""),IF(AND(IFERROR(VLOOKUP(A22,'Cadastro Geral Campistas'!$A:$R,15,0),"")&lt;&gt;"",LOWER(TRIM(IFERROR(VLOOKUP(A22,'Cadastro Geral Campistas'!$A:$R,15,0),"")))&lt;&gt;"não",LOWER(TRIM(IFERROR(VLOOKUP(A22,'Cadastro Geral Campistas'!$A:$R,15,0),"")))&lt;&gt;"nao",LOWER(TRIM(IFERROR(VLOOKUP(A22,'Cadastro Geral Campistas'!$A:$R,15,0),"")))&lt;&gt;"0"),"Alergia: "&amp;IFERROR(VLOOKUP(A22,'Cadastro Geral Campistas'!$A:$R,15,0),""),""))))</f>
        <v>SIM, RICKEYE</v>
      </c>
      <c r="J22" s="60" t="str">
        <f>IFERROR(VLOOKUP(A22,'Cadastro Geral Campistas'!$A:$R,4,0),"")</f>
        <v>M</v>
      </c>
    </row>
    <row r="23" spans="1:10" ht="18" customHeight="1" x14ac:dyDescent="0.55000000000000004">
      <c r="A23" s="57">
        <v>140</v>
      </c>
      <c r="B23" s="7" t="str">
        <f>IFERROR(VLOOKUP(A23,'Cadastro Geral Campistas'!$A:$R,2,0),"")</f>
        <v>Wilson ferreira filho</v>
      </c>
      <c r="C23" s="6">
        <f>IFERROR(VLOOKUP(A23,'Cadastro Geral Campistas'!$A:$R,5,0),"")</f>
        <v>89</v>
      </c>
      <c r="D23" s="6">
        <f>IFERROR(VLOOKUP(A23,'Cadastro Geral Campistas'!$A:$R,6,0),"")</f>
        <v>1.73</v>
      </c>
      <c r="E23" s="6">
        <f>IFERROR(VLOOKUP(A23,'Cadastro Geral Campistas'!$A:$R,7,0),"")</f>
        <v>39</v>
      </c>
      <c r="F23" s="7" t="str">
        <f>IFERROR(VLOOKUP(A23,'Cadastro Geral Campistas'!$A:$R,9,0),"")</f>
        <v>São Luís de montes belos</v>
      </c>
      <c r="G23" s="6" t="str">
        <f>IFERROR(VLOOKUP(A23,'Cadastro Geral Campistas'!$A:$R,3,0),"")</f>
        <v>G</v>
      </c>
      <c r="H23" s="7" t="str">
        <f>IFERROR(VLOOKUP(A23,'Cadastro Geral Campistas'!$A:$R,8,0),"")</f>
        <v>+55 (64) 99328-8272</v>
      </c>
      <c r="I23" s="101" t="str">
        <f>IF(AND(IFERROR(VLOOKUP(A23,'Cadastro Geral Campistas'!$A:$R,18,0),0)&gt;0,COUNTIF($A$9:$A$24,IFERROR(VLOOKUP(A23,'Cadastro Geral Campistas'!$A:$R,18,0),0))&gt;0),"⚠️ CONFLITO! Cônjuge na mesma tribo: "&amp;IFERROR(VLOOKUP(IFERROR(VLOOKUP(A23,'Cadastro Geral Campistas'!$A:$R,18,0),0),'Cadastro Geral Campistas'!$A:$R,2,""),""),TRIM(IF(AND(IFERROR(VLOOKUP(A23,'Cadastro Geral Campistas'!$A:$R,10,0),"")&lt;&gt;"",LOWER(TRIM(IFERROR(VLOOKUP(A23,'Cadastro Geral Campistas'!$A:$R,10,0),"")))&lt;&gt;"não",LOWER(TRIM(IFERROR(VLOOKUP(A23,'Cadastro Geral Campistas'!$A:$R,10,0),"")))&lt;&gt;"nao",LOWER(TRIM(IFERROR(VLOOKUP(A23,'Cadastro Geral Campistas'!$A:$R,10,0),"")))&lt;&gt;"0"),IFERROR(VLOOKUP(A23,'Cadastro Geral Campistas'!$A:$R,10,0),"")&amp;IF(AND(IFERROR(VLOOKUP(A23,'Cadastro Geral Campistas'!$A:$R,15,0),"")&lt;&gt;"",LOWER(TRIM(IFERROR(VLOOKUP(A23,'Cadastro Geral Campistas'!$A:$R,15,0),"")))&lt;&gt;"não",LOWER(TRIM(IFERROR(VLOOKUP(A23,'Cadastro Geral Campistas'!$A:$R,15,0),"")))&lt;&gt;"nao",LOWER(TRIM(IFERROR(VLOOKUP(A23,'Cadastro Geral Campistas'!$A:$R,15,0),"")))&lt;&gt;"0")," | Alergia: "&amp;IFERROR(VLOOKUP(A23,'Cadastro Geral Campistas'!$A:$R,15,0),""),""),IF(AND(IFERROR(VLOOKUP(A23,'Cadastro Geral Campistas'!$A:$R,15,0),"")&lt;&gt;"",LOWER(TRIM(IFERROR(VLOOKUP(A23,'Cadastro Geral Campistas'!$A:$R,15,0),"")))&lt;&gt;"não",LOWER(TRIM(IFERROR(VLOOKUP(A23,'Cadastro Geral Campistas'!$A:$R,15,0),"")))&lt;&gt;"nao",LOWER(TRIM(IFERROR(VLOOKUP(A23,'Cadastro Geral Campistas'!$A:$R,15,0),"")))&lt;&gt;"0"),"Alergia: "&amp;IFERROR(VLOOKUP(A23,'Cadastro Geral Campistas'!$A:$R,15,0),""),""))))</f>
        <v>Sim Ana Julia</v>
      </c>
      <c r="J23" s="58" t="str">
        <f>IFERROR(VLOOKUP(A23,'Cadastro Geral Campistas'!$A:$R,4,0),"")</f>
        <v>M</v>
      </c>
    </row>
    <row r="24" spans="1:10" ht="18" customHeight="1" x14ac:dyDescent="0.55000000000000004">
      <c r="A24" s="59">
        <v>78</v>
      </c>
      <c r="B24" s="18" t="str">
        <f>IFERROR(VLOOKUP(A24,'Cadastro Geral Campistas'!$A:$R,2,0),"")</f>
        <v>leonardo pires crispim de sousa</v>
      </c>
      <c r="C24" s="19">
        <f>IFERROR(VLOOKUP(A24,'Cadastro Geral Campistas'!$A:$R,5,0),"")</f>
        <v>95</v>
      </c>
      <c r="D24" s="19">
        <f>IFERROR(VLOOKUP(A24,'Cadastro Geral Campistas'!$A:$R,6,0),"")</f>
        <v>1.72</v>
      </c>
      <c r="E24" s="19">
        <f>IFERROR(VLOOKUP(A24,'Cadastro Geral Campistas'!$A:$R,7,0),"")</f>
        <v>42</v>
      </c>
      <c r="F24" s="18" t="str">
        <f>IFERROR(VLOOKUP(A24,'Cadastro Geral Campistas'!$A:$R,9,0),"")</f>
        <v>Goiânia</v>
      </c>
      <c r="G24" s="19" t="str">
        <f>IFERROR(VLOOKUP(A24,'Cadastro Geral Campistas'!$A:$R,3,0),"")</f>
        <v>GG</v>
      </c>
      <c r="H24" s="18" t="str">
        <f>IFERROR(VLOOKUP(A24,'Cadastro Geral Campistas'!$A:$R,8,0),"")</f>
        <v>+55 (62) 99176-0830</v>
      </c>
      <c r="I24" s="102" t="str">
        <f>IF(AND(IFERROR(VLOOKUP(A24,'Cadastro Geral Campistas'!$A:$R,18,0),0)&gt;0,COUNTIF($A$9:$A$24,IFERROR(VLOOKUP(A24,'Cadastro Geral Campistas'!$A:$R,18,0),0))&gt;0),"⚠️ CONFLITO! Cônjuge na mesma tribo: "&amp;IFERROR(VLOOKUP(IFERROR(VLOOKUP(A24,'Cadastro Geral Campistas'!$A:$R,18,0),0),'Cadastro Geral Campistas'!$A:$R,2,""),""),TRIM(IF(AND(IFERROR(VLOOKUP(A24,'Cadastro Geral Campistas'!$A:$R,10,0),"")&lt;&gt;"",LOWER(TRIM(IFERROR(VLOOKUP(A24,'Cadastro Geral Campistas'!$A:$R,10,0),"")))&lt;&gt;"não",LOWER(TRIM(IFERROR(VLOOKUP(A24,'Cadastro Geral Campistas'!$A:$R,10,0),"")))&lt;&gt;"nao",LOWER(TRIM(IFERROR(VLOOKUP(A24,'Cadastro Geral Campistas'!$A:$R,10,0),"")))&lt;&gt;"0"),IFERROR(VLOOKUP(A24,'Cadastro Geral Campistas'!$A:$R,10,0),"")&amp;IF(AND(IFERROR(VLOOKUP(A24,'Cadastro Geral Campistas'!$A:$R,15,0),"")&lt;&gt;"",LOWER(TRIM(IFERROR(VLOOKUP(A24,'Cadastro Geral Campistas'!$A:$R,15,0),"")))&lt;&gt;"não",LOWER(TRIM(IFERROR(VLOOKUP(A24,'Cadastro Geral Campistas'!$A:$R,15,0),"")))&lt;&gt;"nao",LOWER(TRIM(IFERROR(VLOOKUP(A24,'Cadastro Geral Campistas'!$A:$R,15,0),"")))&lt;&gt;"0")," | Alergia: "&amp;IFERROR(VLOOKUP(A24,'Cadastro Geral Campistas'!$A:$R,15,0),""),""),IF(AND(IFERROR(VLOOKUP(A24,'Cadastro Geral Campistas'!$A:$R,15,0),"")&lt;&gt;"",LOWER(TRIM(IFERROR(VLOOKUP(A24,'Cadastro Geral Campistas'!$A:$R,15,0),"")))&lt;&gt;"não",LOWER(TRIM(IFERROR(VLOOKUP(A24,'Cadastro Geral Campistas'!$A:$R,15,0),"")))&lt;&gt;"nao",LOWER(TRIM(IFERROR(VLOOKUP(A24,'Cadastro Geral Campistas'!$A:$R,15,0),"")))&lt;&gt;"0"),"Alergia: "&amp;IFERROR(VLOOKUP(A24,'Cadastro Geral Campistas'!$A:$R,15,0),""),""))))</f>
        <v/>
      </c>
      <c r="J24" s="60" t="str">
        <f>IFERROR(VLOOKUP(A24,'Cadastro Geral Campistas'!$A:$R,4,0),"")</f>
        <v>M</v>
      </c>
    </row>
    <row r="25" spans="1:10" x14ac:dyDescent="0.55000000000000004">
      <c r="A25" s="61" t="s">
        <v>17</v>
      </c>
      <c r="B25" s="20"/>
      <c r="C25" s="20">
        <f>IFERROR(ROUND(AVERAGE(C9:C24),1),"")</f>
        <v>79.3</v>
      </c>
      <c r="D25" s="20"/>
      <c r="E25" s="20">
        <f>IFERROR(ROUND(AVERAGE(E9:E24),1),"")</f>
        <v>41.6</v>
      </c>
      <c r="F25" s="116"/>
      <c r="G25" s="104"/>
      <c r="H25" s="105"/>
      <c r="I25" s="126" t="str">
        <f>COUNTIF(J9:J24,"F")&amp;"  F    |    "&amp;COUNTIF(J9:J24,"M")&amp;"  M"</f>
        <v>8  F    |    8  M</v>
      </c>
      <c r="J25" s="127"/>
    </row>
    <row r="26" spans="1:10" x14ac:dyDescent="0.55000000000000004">
      <c r="A26" s="118"/>
      <c r="B26" s="119"/>
      <c r="C26" s="119"/>
      <c r="D26" s="119"/>
      <c r="E26" s="119"/>
      <c r="F26" s="119"/>
      <c r="G26" s="119"/>
      <c r="H26" s="119"/>
      <c r="I26" s="130" t="s">
        <v>18</v>
      </c>
      <c r="J26" s="131"/>
    </row>
    <row r="27" spans="1:10" x14ac:dyDescent="0.55000000000000004">
      <c r="A27" s="120"/>
      <c r="B27" s="121"/>
      <c r="C27" s="121"/>
      <c r="D27" s="121"/>
      <c r="E27" s="121"/>
      <c r="F27" s="121"/>
      <c r="G27" s="121"/>
      <c r="H27" s="121"/>
      <c r="I27" s="124" t="s">
        <v>19</v>
      </c>
      <c r="J27" s="125"/>
    </row>
    <row r="28" spans="1:10" x14ac:dyDescent="0.55000000000000004">
      <c r="A28" s="120"/>
      <c r="B28" s="121"/>
      <c r="C28" s="121"/>
      <c r="D28" s="121"/>
      <c r="E28" s="121"/>
      <c r="F28" s="121"/>
      <c r="G28" s="121"/>
      <c r="H28" s="121"/>
      <c r="I28" s="124" t="s">
        <v>20</v>
      </c>
      <c r="J28" s="125"/>
    </row>
    <row r="29" spans="1:10" x14ac:dyDescent="0.55000000000000004">
      <c r="A29" s="120"/>
      <c r="B29" s="121"/>
      <c r="C29" s="121"/>
      <c r="D29" s="121"/>
      <c r="E29" s="121"/>
      <c r="F29" s="121"/>
      <c r="G29" s="121"/>
      <c r="H29" s="121"/>
      <c r="I29" s="124" t="s">
        <v>21</v>
      </c>
      <c r="J29" s="125"/>
    </row>
    <row r="30" spans="1:10" x14ac:dyDescent="0.55000000000000004">
      <c r="A30" s="120"/>
      <c r="B30" s="121"/>
      <c r="C30" s="121"/>
      <c r="D30" s="121"/>
      <c r="E30" s="121"/>
      <c r="F30" s="121"/>
      <c r="G30" s="121"/>
      <c r="H30" s="121"/>
      <c r="I30" s="124" t="s">
        <v>22</v>
      </c>
      <c r="J30" s="125"/>
    </row>
    <row r="31" spans="1:10" x14ac:dyDescent="0.55000000000000004">
      <c r="A31" s="120"/>
      <c r="B31" s="121"/>
      <c r="C31" s="121"/>
      <c r="D31" s="121"/>
      <c r="E31" s="121"/>
      <c r="F31" s="121"/>
      <c r="G31" s="121"/>
      <c r="H31" s="121"/>
      <c r="I31" s="124" t="s">
        <v>23</v>
      </c>
      <c r="J31" s="125"/>
    </row>
    <row r="32" spans="1:10" x14ac:dyDescent="0.55000000000000004">
      <c r="A32" s="120"/>
      <c r="B32" s="121"/>
      <c r="C32" s="121"/>
      <c r="D32" s="121"/>
      <c r="E32" s="121"/>
      <c r="F32" s="121"/>
      <c r="G32" s="121"/>
      <c r="H32" s="121"/>
      <c r="I32" s="124" t="s">
        <v>24</v>
      </c>
      <c r="J32" s="125"/>
    </row>
    <row r="33" spans="1:10" x14ac:dyDescent="0.55000000000000004">
      <c r="A33" s="120"/>
      <c r="B33" s="121"/>
      <c r="C33" s="121"/>
      <c r="D33" s="121"/>
      <c r="E33" s="121"/>
      <c r="F33" s="121"/>
      <c r="G33" s="121"/>
      <c r="H33" s="121"/>
      <c r="I33" s="124" t="s">
        <v>25</v>
      </c>
      <c r="J33" s="125"/>
    </row>
    <row r="34" spans="1:10" x14ac:dyDescent="0.55000000000000004">
      <c r="A34" s="120"/>
      <c r="B34" s="121"/>
      <c r="C34" s="121"/>
      <c r="D34" s="121"/>
      <c r="E34" s="121"/>
      <c r="F34" s="121"/>
      <c r="G34" s="121"/>
      <c r="H34" s="121"/>
      <c r="I34" s="124" t="s">
        <v>26</v>
      </c>
      <c r="J34" s="125"/>
    </row>
    <row r="35" spans="1:10" ht="14.7" customHeight="1" thickBot="1" x14ac:dyDescent="0.6">
      <c r="A35" s="122"/>
      <c r="B35" s="123"/>
      <c r="C35" s="123"/>
      <c r="D35" s="123"/>
      <c r="E35" s="123"/>
      <c r="F35" s="123"/>
      <c r="G35" s="123"/>
      <c r="H35" s="123"/>
      <c r="I35" s="132" t="s">
        <v>27</v>
      </c>
      <c r="J35" s="133"/>
    </row>
    <row r="36" spans="1:10" ht="28" customHeight="1" x14ac:dyDescent="0.55000000000000004">
      <c r="A36" s="171" t="s">
        <v>28</v>
      </c>
      <c r="B36" s="136"/>
      <c r="C36" s="136"/>
      <c r="D36" s="136"/>
      <c r="E36" s="156" t="s">
        <v>29</v>
      </c>
      <c r="F36" s="136"/>
      <c r="G36" s="136"/>
      <c r="H36" s="136"/>
      <c r="I36" s="136"/>
      <c r="J36" s="144"/>
    </row>
    <row r="37" spans="1:10" x14ac:dyDescent="0.55000000000000004">
      <c r="A37" s="139"/>
      <c r="B37" s="121"/>
      <c r="C37" s="121"/>
      <c r="D37" s="121"/>
      <c r="E37" s="121"/>
      <c r="F37" s="121"/>
      <c r="G37" s="121"/>
      <c r="H37" s="121"/>
      <c r="I37" s="121"/>
      <c r="J37" s="125"/>
    </row>
    <row r="38" spans="1:10" x14ac:dyDescent="0.55000000000000004">
      <c r="A38" s="120"/>
      <c r="B38" s="121"/>
      <c r="C38" s="121"/>
      <c r="D38" s="121"/>
      <c r="E38" s="121"/>
      <c r="F38" s="121"/>
      <c r="G38" s="121"/>
      <c r="H38" s="121"/>
      <c r="I38" s="121"/>
      <c r="J38" s="125"/>
    </row>
    <row r="39" spans="1:10" x14ac:dyDescent="0.55000000000000004">
      <c r="A39" s="51" t="s">
        <v>2</v>
      </c>
      <c r="D39" s="142"/>
      <c r="E39" s="121"/>
      <c r="F39" s="121"/>
      <c r="G39" s="50" t="s">
        <v>3</v>
      </c>
      <c r="J39" s="52"/>
    </row>
    <row r="40" spans="1:10" x14ac:dyDescent="0.55000000000000004">
      <c r="A40" s="160" t="s">
        <v>30</v>
      </c>
      <c r="B40" s="121"/>
      <c r="C40" s="121"/>
      <c r="D40" s="121"/>
      <c r="E40" s="121"/>
      <c r="F40" s="121"/>
      <c r="G40" s="134" t="s">
        <v>31</v>
      </c>
      <c r="H40" s="121"/>
      <c r="I40" s="121"/>
      <c r="J40" s="125"/>
    </row>
    <row r="41" spans="1:10" x14ac:dyDescent="0.55000000000000004">
      <c r="A41" s="160" t="s">
        <v>32</v>
      </c>
      <c r="B41" s="121"/>
      <c r="C41" s="121"/>
      <c r="D41" s="121"/>
      <c r="E41" s="121"/>
      <c r="F41" s="121"/>
      <c r="G41" s="177"/>
      <c r="H41" s="121"/>
      <c r="I41" s="121"/>
      <c r="J41" s="125"/>
    </row>
    <row r="42" spans="1:10" x14ac:dyDescent="0.55000000000000004">
      <c r="A42" s="161"/>
      <c r="B42" s="129"/>
      <c r="C42" s="129"/>
      <c r="D42" s="129"/>
      <c r="E42" s="129"/>
      <c r="F42" s="129"/>
      <c r="G42" s="129"/>
      <c r="H42" s="129"/>
      <c r="I42" s="129"/>
      <c r="J42" s="146"/>
    </row>
    <row r="43" spans="1:10" x14ac:dyDescent="0.55000000000000004">
      <c r="A43" s="63" t="s">
        <v>7</v>
      </c>
      <c r="B43" s="21" t="s">
        <v>8</v>
      </c>
      <c r="C43" s="21" t="s">
        <v>9</v>
      </c>
      <c r="D43" s="21" t="s">
        <v>10</v>
      </c>
      <c r="E43" s="21" t="s">
        <v>11</v>
      </c>
      <c r="F43" s="21" t="s">
        <v>12</v>
      </c>
      <c r="G43" s="21" t="s">
        <v>13</v>
      </c>
      <c r="H43" s="21" t="s">
        <v>14</v>
      </c>
      <c r="I43" s="21" t="s">
        <v>15</v>
      </c>
      <c r="J43" s="64" t="s">
        <v>16</v>
      </c>
    </row>
    <row r="44" spans="1:10" ht="18" customHeight="1" x14ac:dyDescent="0.55000000000000004">
      <c r="A44" s="55">
        <v>32</v>
      </c>
      <c r="B44" s="3" t="str">
        <f>IFERROR(VLOOKUP(A44,'Cadastro Geral Campistas'!$A:$R,2,0),"")</f>
        <v>Dirce de Souza Lobo Oliveira</v>
      </c>
      <c r="C44" s="2">
        <f>IFERROR(VLOOKUP(A44,'Cadastro Geral Campistas'!$A:$R,5,0),"")</f>
        <v>70</v>
      </c>
      <c r="D44" s="2">
        <f>IFERROR(VLOOKUP(A44,'Cadastro Geral Campistas'!$A:$R,6,0),"")</f>
        <v>1.65</v>
      </c>
      <c r="E44" s="2">
        <f>IFERROR(VLOOKUP(A44,'Cadastro Geral Campistas'!$A:$R,7,0),"")</f>
        <v>57</v>
      </c>
      <c r="F44" s="3" t="str">
        <f>IFERROR(VLOOKUP(A44,'Cadastro Geral Campistas'!$A:$R,9,0),"")</f>
        <v>Pires do Rio</v>
      </c>
      <c r="G44" s="2" t="str">
        <f>IFERROR(VLOOKUP(A44,'Cadastro Geral Campistas'!$A:$R,3,0),"")</f>
        <v>M</v>
      </c>
      <c r="H44" s="3" t="str">
        <f>IFERROR(VLOOKUP(A44,'Cadastro Geral Campistas'!$A:$R,8,0),"")</f>
        <v>+55 (62) 99647-4797</v>
      </c>
      <c r="I44" s="103" t="str">
        <f>IF(AND(IFERROR(VLOOKUP(A44,'Cadastro Geral Campistas'!$A:$R,18,0),0)&gt;0,COUNTIF($A$44:$A$59,IFERROR(VLOOKUP(A44,'Cadastro Geral Campistas'!$A:$R,18,0),0))&gt;0),"⚠️ CONFLITO! Cônjuge na mesma tribo: "&amp;IFERROR(VLOOKUP(IFERROR(VLOOKUP(A44,'Cadastro Geral Campistas'!$A:$R,18,0),0),'Cadastro Geral Campistas'!$A:$R,2,""),""),TRIM(IF(AND(IFERROR(VLOOKUP(A44,'Cadastro Geral Campistas'!$A:$R,10,0),"")&lt;&gt;"",LOWER(TRIM(IFERROR(VLOOKUP(A44,'Cadastro Geral Campistas'!$A:$R,10,0),"")))&lt;&gt;"não",LOWER(TRIM(IFERROR(VLOOKUP(A44,'Cadastro Geral Campistas'!$A:$R,10,0),"")))&lt;&gt;"nao",LOWER(TRIM(IFERROR(VLOOKUP(A44,'Cadastro Geral Campistas'!$A:$R,10,0),"")))&lt;&gt;"0"),IFERROR(VLOOKUP(A44,'Cadastro Geral Campistas'!$A:$R,10,0),"")&amp;IF(AND(IFERROR(VLOOKUP(A44,'Cadastro Geral Campistas'!$A:$R,15,0),"")&lt;&gt;"",LOWER(TRIM(IFERROR(VLOOKUP(A44,'Cadastro Geral Campistas'!$A:$R,15,0),"")))&lt;&gt;"não",LOWER(TRIM(IFERROR(VLOOKUP(A44,'Cadastro Geral Campistas'!$A:$R,15,0),"")))&lt;&gt;"nao",LOWER(TRIM(IFERROR(VLOOKUP(A44,'Cadastro Geral Campistas'!$A:$R,15,0),"")))&lt;&gt;"0")," | Alergia: "&amp;IFERROR(VLOOKUP(A44,'Cadastro Geral Campistas'!$A:$R,15,0),""),""),IF(AND(IFERROR(VLOOKUP(A44,'Cadastro Geral Campistas'!$A:$R,15,0),"")&lt;&gt;"",LOWER(TRIM(IFERROR(VLOOKUP(A44,'Cadastro Geral Campistas'!$A:$R,15,0),"")))&lt;&gt;"não",LOWER(TRIM(IFERROR(VLOOKUP(A44,'Cadastro Geral Campistas'!$A:$R,15,0),"")))&lt;&gt;"nao",LOWER(TRIM(IFERROR(VLOOKUP(A44,'Cadastro Geral Campistas'!$A:$R,15,0),"")))&lt;&gt;"0"),"Alergia: "&amp;IFERROR(VLOOKUP(A44,'Cadastro Geral Campistas'!$A:$R,15,0),""),""))))</f>
        <v>Donizete Antonio de Oliveira - Meu marido</v>
      </c>
      <c r="J44" s="56" t="str">
        <f>IFERROR(VLOOKUP(A44,'Cadastro Geral Campistas'!$A:$R,4,0),"")</f>
        <v>F</v>
      </c>
    </row>
    <row r="45" spans="1:10" ht="18" customHeight="1" x14ac:dyDescent="0.55000000000000004">
      <c r="A45" s="65">
        <v>37</v>
      </c>
      <c r="B45" s="22" t="str">
        <f>IFERROR(VLOOKUP(A45,'Cadastro Geral Campistas'!$A:$R,2,0),"")</f>
        <v>ELIANE MARTINS NUNES</v>
      </c>
      <c r="C45" s="23">
        <f>IFERROR(VLOOKUP(A45,'Cadastro Geral Campistas'!$A:$R,5,0),"")</f>
        <v>66</v>
      </c>
      <c r="D45" s="23">
        <f>IFERROR(VLOOKUP(A45,'Cadastro Geral Campistas'!$A:$R,6,0),"")</f>
        <v>1.61</v>
      </c>
      <c r="E45" s="23">
        <f>IFERROR(VLOOKUP(A45,'Cadastro Geral Campistas'!$A:$R,7,0),"")</f>
        <v>60</v>
      </c>
      <c r="F45" s="22" t="str">
        <f>IFERROR(VLOOKUP(A45,'Cadastro Geral Campistas'!$A:$R,9,0),"")</f>
        <v>GOIÂNIA</v>
      </c>
      <c r="G45" s="23" t="str">
        <f>IFERROR(VLOOKUP(A45,'Cadastro Geral Campistas'!$A:$R,3,0),"")</f>
        <v>M</v>
      </c>
      <c r="H45" s="22" t="str">
        <f>IFERROR(VLOOKUP(A45,'Cadastro Geral Campistas'!$A:$R,8,0),"")</f>
        <v>+55 (62) 99971-1082</v>
      </c>
      <c r="I45" s="106" t="str">
        <f>IF(AND(IFERROR(VLOOKUP(A45,'Cadastro Geral Campistas'!$A:$R,18,0),0)&gt;0,COUNTIF($A$44:$A$59,IFERROR(VLOOKUP(A45,'Cadastro Geral Campistas'!$A:$R,18,0),0))&gt;0),"⚠️ CONFLITO! Cônjuge na mesma tribo: "&amp;IFERROR(VLOOKUP(IFERROR(VLOOKUP(A45,'Cadastro Geral Campistas'!$A:$R,18,0),0),'Cadastro Geral Campistas'!$A:$R,2,""),""),TRIM(IF(AND(IFERROR(VLOOKUP(A45,'Cadastro Geral Campistas'!$A:$R,10,0),"")&lt;&gt;"",LOWER(TRIM(IFERROR(VLOOKUP(A45,'Cadastro Geral Campistas'!$A:$R,10,0),"")))&lt;&gt;"não",LOWER(TRIM(IFERROR(VLOOKUP(A45,'Cadastro Geral Campistas'!$A:$R,10,0),"")))&lt;&gt;"nao",LOWER(TRIM(IFERROR(VLOOKUP(A45,'Cadastro Geral Campistas'!$A:$R,10,0),"")))&lt;&gt;"0"),IFERROR(VLOOKUP(A45,'Cadastro Geral Campistas'!$A:$R,10,0),"")&amp;IF(AND(IFERROR(VLOOKUP(A45,'Cadastro Geral Campistas'!$A:$R,15,0),"")&lt;&gt;"",LOWER(TRIM(IFERROR(VLOOKUP(A45,'Cadastro Geral Campistas'!$A:$R,15,0),"")))&lt;&gt;"não",LOWER(TRIM(IFERROR(VLOOKUP(A45,'Cadastro Geral Campistas'!$A:$R,15,0),"")))&lt;&gt;"nao",LOWER(TRIM(IFERROR(VLOOKUP(A45,'Cadastro Geral Campistas'!$A:$R,15,0),"")))&lt;&gt;"0")," | Alergia: "&amp;IFERROR(VLOOKUP(A45,'Cadastro Geral Campistas'!$A:$R,15,0),""),""),IF(AND(IFERROR(VLOOKUP(A45,'Cadastro Geral Campistas'!$A:$R,15,0),"")&lt;&gt;"",LOWER(TRIM(IFERROR(VLOOKUP(A45,'Cadastro Geral Campistas'!$A:$R,15,0),"")))&lt;&gt;"não",LOWER(TRIM(IFERROR(VLOOKUP(A45,'Cadastro Geral Campistas'!$A:$R,15,0),"")))&lt;&gt;"nao",LOWER(TRIM(IFERROR(VLOOKUP(A45,'Cadastro Geral Campistas'!$A:$R,15,0),"")))&lt;&gt;"0"),"Alergia: "&amp;IFERROR(VLOOKUP(A45,'Cadastro Geral Campistas'!$A:$R,15,0),""),""))))</f>
        <v/>
      </c>
      <c r="J45" s="66" t="str">
        <f>IFERROR(VLOOKUP(A45,'Cadastro Geral Campistas'!$A:$R,4,0),"")</f>
        <v>F</v>
      </c>
    </row>
    <row r="46" spans="1:10" ht="18" customHeight="1" x14ac:dyDescent="0.55000000000000004">
      <c r="A46" s="57">
        <v>58</v>
      </c>
      <c r="B46" s="7" t="str">
        <f>IFERROR(VLOOKUP(A46,'Cadastro Geral Campistas'!$A:$R,2,0),"")</f>
        <v>Izadora Lima Pires</v>
      </c>
      <c r="C46" s="6">
        <f>IFERROR(VLOOKUP(A46,'Cadastro Geral Campistas'!$A:$R,5,0),"")</f>
        <v>60</v>
      </c>
      <c r="D46" s="6">
        <f>IFERROR(VLOOKUP(A46,'Cadastro Geral Campistas'!$A:$R,6,0),"")</f>
        <v>1.57</v>
      </c>
      <c r="E46" s="6">
        <f>IFERROR(VLOOKUP(A46,'Cadastro Geral Campistas'!$A:$R,7,0),"")</f>
        <v>35</v>
      </c>
      <c r="F46" s="7" t="str">
        <f>IFERROR(VLOOKUP(A46,'Cadastro Geral Campistas'!$A:$R,9,0),"")</f>
        <v>Goiania</v>
      </c>
      <c r="G46" s="6" t="str">
        <f>IFERROR(VLOOKUP(A46,'Cadastro Geral Campistas'!$A:$R,3,0),"")</f>
        <v>P</v>
      </c>
      <c r="H46" s="7" t="str">
        <f>IFERROR(VLOOKUP(A46,'Cadastro Geral Campistas'!$A:$R,8,0),"")</f>
        <v>+55 (62) 99972-2914</v>
      </c>
      <c r="I46" s="101" t="str">
        <f>IF(AND(IFERROR(VLOOKUP(A46,'Cadastro Geral Campistas'!$A:$R,18,0),0)&gt;0,COUNTIF($A$44:$A$59,IFERROR(VLOOKUP(A46,'Cadastro Geral Campistas'!$A:$R,18,0),0))&gt;0),"⚠️ CONFLITO! Cônjuge na mesma tribo: "&amp;IFERROR(VLOOKUP(IFERROR(VLOOKUP(A46,'Cadastro Geral Campistas'!$A:$R,18,0),0),'Cadastro Geral Campistas'!$A:$R,2,""),""),TRIM(IF(AND(IFERROR(VLOOKUP(A46,'Cadastro Geral Campistas'!$A:$R,10,0),"")&lt;&gt;"",LOWER(TRIM(IFERROR(VLOOKUP(A46,'Cadastro Geral Campistas'!$A:$R,10,0),"")))&lt;&gt;"não",LOWER(TRIM(IFERROR(VLOOKUP(A46,'Cadastro Geral Campistas'!$A:$R,10,0),"")))&lt;&gt;"nao",LOWER(TRIM(IFERROR(VLOOKUP(A46,'Cadastro Geral Campistas'!$A:$R,10,0),"")))&lt;&gt;"0"),IFERROR(VLOOKUP(A46,'Cadastro Geral Campistas'!$A:$R,10,0),"")&amp;IF(AND(IFERROR(VLOOKUP(A46,'Cadastro Geral Campistas'!$A:$R,15,0),"")&lt;&gt;"",LOWER(TRIM(IFERROR(VLOOKUP(A46,'Cadastro Geral Campistas'!$A:$R,15,0),"")))&lt;&gt;"não",LOWER(TRIM(IFERROR(VLOOKUP(A46,'Cadastro Geral Campistas'!$A:$R,15,0),"")))&lt;&gt;"nao",LOWER(TRIM(IFERROR(VLOOKUP(A46,'Cadastro Geral Campistas'!$A:$R,15,0),"")))&lt;&gt;"0")," | Alergia: "&amp;IFERROR(VLOOKUP(A46,'Cadastro Geral Campistas'!$A:$R,15,0),""),""),IF(AND(IFERROR(VLOOKUP(A46,'Cadastro Geral Campistas'!$A:$R,15,0),"")&lt;&gt;"",LOWER(TRIM(IFERROR(VLOOKUP(A46,'Cadastro Geral Campistas'!$A:$R,15,0),"")))&lt;&gt;"não",LOWER(TRIM(IFERROR(VLOOKUP(A46,'Cadastro Geral Campistas'!$A:$R,15,0),"")))&lt;&gt;"nao",LOWER(TRIM(IFERROR(VLOOKUP(A46,'Cadastro Geral Campistas'!$A:$R,15,0),"")))&lt;&gt;"0"),"Alergia: "&amp;IFERROR(VLOOKUP(A46,'Cadastro Geral Campistas'!$A:$R,15,0),""),""))))</f>
        <v>Guilherme Henrique Oliveira Martins | Alergia: cebola, cebolinha, insetos quase todos exceto abelha</v>
      </c>
      <c r="J46" s="58" t="str">
        <f>IFERROR(VLOOKUP(A46,'Cadastro Geral Campistas'!$A:$R,4,0),"")</f>
        <v>F</v>
      </c>
    </row>
    <row r="47" spans="1:10" ht="18" customHeight="1" x14ac:dyDescent="0.55000000000000004">
      <c r="A47" s="65">
        <v>70</v>
      </c>
      <c r="B47" s="22" t="str">
        <f>IFERROR(VLOOKUP(A47,'Cadastro Geral Campistas'!$A:$R,2,0),"")</f>
        <v>Karla Carvalho Miranda</v>
      </c>
      <c r="C47" s="23">
        <f>IFERROR(VLOOKUP(A47,'Cadastro Geral Campistas'!$A:$R,5,0),"")</f>
        <v>63</v>
      </c>
      <c r="D47" s="23">
        <f>IFERROR(VLOOKUP(A47,'Cadastro Geral Campistas'!$A:$R,6,0),"")</f>
        <v>1.58</v>
      </c>
      <c r="E47" s="23">
        <f>IFERROR(VLOOKUP(A47,'Cadastro Geral Campistas'!$A:$R,7,0),"")</f>
        <v>48</v>
      </c>
      <c r="F47" s="22" t="str">
        <f>IFERROR(VLOOKUP(A47,'Cadastro Geral Campistas'!$A:$R,9,0),"")</f>
        <v>Goiânia</v>
      </c>
      <c r="G47" s="23" t="str">
        <f>IFERROR(VLOOKUP(A47,'Cadastro Geral Campistas'!$A:$R,3,0),"")</f>
        <v>M</v>
      </c>
      <c r="H47" s="22" t="str">
        <f>IFERROR(VLOOKUP(A47,'Cadastro Geral Campistas'!$A:$R,8,0),"")</f>
        <v>+55 (62) 99253-7279</v>
      </c>
      <c r="I47" s="106" t="str">
        <f>IF(AND(IFERROR(VLOOKUP(A47,'Cadastro Geral Campistas'!$A:$R,18,0),0)&gt;0,COUNTIF($A$44:$A$59,IFERROR(VLOOKUP(A47,'Cadastro Geral Campistas'!$A:$R,18,0),0))&gt;0),"⚠️ CONFLITO! Cônjuge na mesma tribo: "&amp;IFERROR(VLOOKUP(IFERROR(VLOOKUP(A47,'Cadastro Geral Campistas'!$A:$R,18,0),0),'Cadastro Geral Campistas'!$A:$R,2,""),""),TRIM(IF(AND(IFERROR(VLOOKUP(A47,'Cadastro Geral Campistas'!$A:$R,10,0),"")&lt;&gt;"",LOWER(TRIM(IFERROR(VLOOKUP(A47,'Cadastro Geral Campistas'!$A:$R,10,0),"")))&lt;&gt;"não",LOWER(TRIM(IFERROR(VLOOKUP(A47,'Cadastro Geral Campistas'!$A:$R,10,0),"")))&lt;&gt;"nao",LOWER(TRIM(IFERROR(VLOOKUP(A47,'Cadastro Geral Campistas'!$A:$R,10,0),"")))&lt;&gt;"0"),IFERROR(VLOOKUP(A47,'Cadastro Geral Campistas'!$A:$R,10,0),"")&amp;IF(AND(IFERROR(VLOOKUP(A47,'Cadastro Geral Campistas'!$A:$R,15,0),"")&lt;&gt;"",LOWER(TRIM(IFERROR(VLOOKUP(A47,'Cadastro Geral Campistas'!$A:$R,15,0),"")))&lt;&gt;"não",LOWER(TRIM(IFERROR(VLOOKUP(A47,'Cadastro Geral Campistas'!$A:$R,15,0),"")))&lt;&gt;"nao",LOWER(TRIM(IFERROR(VLOOKUP(A47,'Cadastro Geral Campistas'!$A:$R,15,0),"")))&lt;&gt;"0")," | Alergia: "&amp;IFERROR(VLOOKUP(A47,'Cadastro Geral Campistas'!$A:$R,15,0),""),""),IF(AND(IFERROR(VLOOKUP(A47,'Cadastro Geral Campistas'!$A:$R,15,0),"")&lt;&gt;"",LOWER(TRIM(IFERROR(VLOOKUP(A47,'Cadastro Geral Campistas'!$A:$R,15,0),"")))&lt;&gt;"não",LOWER(TRIM(IFERROR(VLOOKUP(A47,'Cadastro Geral Campistas'!$A:$R,15,0),"")))&lt;&gt;"nao",LOWER(TRIM(IFERROR(VLOOKUP(A47,'Cadastro Geral Campistas'!$A:$R,15,0),"")))&lt;&gt;"0"),"Alergia: "&amp;IFERROR(VLOOKUP(A47,'Cadastro Geral Campistas'!$A:$R,15,0),""),""))))</f>
        <v/>
      </c>
      <c r="J47" s="66" t="str">
        <f>IFERROR(VLOOKUP(A47,'Cadastro Geral Campistas'!$A:$R,4,0),"")</f>
        <v>F</v>
      </c>
    </row>
    <row r="48" spans="1:10" ht="18" customHeight="1" x14ac:dyDescent="0.55000000000000004">
      <c r="A48" s="57">
        <v>73</v>
      </c>
      <c r="B48" s="7" t="str">
        <f>IFERROR(VLOOKUP(A48,'Cadastro Geral Campistas'!$A:$R,2,0),"")</f>
        <v>Kleiva Gonçalves Venâncio</v>
      </c>
      <c r="C48" s="6">
        <f>IFERROR(VLOOKUP(A48,'Cadastro Geral Campistas'!$A:$R,5,0),"")</f>
        <v>61</v>
      </c>
      <c r="D48" s="6">
        <f>IFERROR(VLOOKUP(A48,'Cadastro Geral Campistas'!$A:$R,6,0),"")</f>
        <v>1.63</v>
      </c>
      <c r="E48" s="6">
        <f>IFERROR(VLOOKUP(A48,'Cadastro Geral Campistas'!$A:$R,7,0),"")</f>
        <v>32</v>
      </c>
      <c r="F48" s="7" t="str">
        <f>IFERROR(VLOOKUP(A48,'Cadastro Geral Campistas'!$A:$R,9,0),"")</f>
        <v>Jussara Go</v>
      </c>
      <c r="G48" s="6" t="str">
        <f>IFERROR(VLOOKUP(A48,'Cadastro Geral Campistas'!$A:$R,3,0),"")</f>
        <v>M</v>
      </c>
      <c r="H48" s="7" t="str">
        <f>IFERROR(VLOOKUP(A48,'Cadastro Geral Campistas'!$A:$R,8,0),"")</f>
        <v>+55 (62) 98459-4855</v>
      </c>
      <c r="I48" s="101" t="str">
        <f>IF(AND(IFERROR(VLOOKUP(A48,'Cadastro Geral Campistas'!$A:$R,18,0),0)&gt;0,COUNTIF($A$44:$A$59,IFERROR(VLOOKUP(A48,'Cadastro Geral Campistas'!$A:$R,18,0),0))&gt;0),"⚠️ CONFLITO! Cônjuge na mesma tribo: "&amp;IFERROR(VLOOKUP(IFERROR(VLOOKUP(A48,'Cadastro Geral Campistas'!$A:$R,18,0),0),'Cadastro Geral Campistas'!$A:$R,2,""),""),TRIM(IF(AND(IFERROR(VLOOKUP(A48,'Cadastro Geral Campistas'!$A:$R,10,0),"")&lt;&gt;"",LOWER(TRIM(IFERROR(VLOOKUP(A48,'Cadastro Geral Campistas'!$A:$R,10,0),"")))&lt;&gt;"não",LOWER(TRIM(IFERROR(VLOOKUP(A48,'Cadastro Geral Campistas'!$A:$R,10,0),"")))&lt;&gt;"nao",LOWER(TRIM(IFERROR(VLOOKUP(A48,'Cadastro Geral Campistas'!$A:$R,10,0),"")))&lt;&gt;"0"),IFERROR(VLOOKUP(A48,'Cadastro Geral Campistas'!$A:$R,10,0),"")&amp;IF(AND(IFERROR(VLOOKUP(A48,'Cadastro Geral Campistas'!$A:$R,15,0),"")&lt;&gt;"",LOWER(TRIM(IFERROR(VLOOKUP(A48,'Cadastro Geral Campistas'!$A:$R,15,0),"")))&lt;&gt;"não",LOWER(TRIM(IFERROR(VLOOKUP(A48,'Cadastro Geral Campistas'!$A:$R,15,0),"")))&lt;&gt;"nao",LOWER(TRIM(IFERROR(VLOOKUP(A48,'Cadastro Geral Campistas'!$A:$R,15,0),"")))&lt;&gt;"0")," | Alergia: "&amp;IFERROR(VLOOKUP(A48,'Cadastro Geral Campistas'!$A:$R,15,0),""),""),IF(AND(IFERROR(VLOOKUP(A48,'Cadastro Geral Campistas'!$A:$R,15,0),"")&lt;&gt;"",LOWER(TRIM(IFERROR(VLOOKUP(A48,'Cadastro Geral Campistas'!$A:$R,15,0),"")))&lt;&gt;"não",LOWER(TRIM(IFERROR(VLOOKUP(A48,'Cadastro Geral Campistas'!$A:$R,15,0),"")))&lt;&gt;"nao",LOWER(TRIM(IFERROR(VLOOKUP(A48,'Cadastro Geral Campistas'!$A:$R,15,0),"")))&lt;&gt;"0"),"Alergia: "&amp;IFERROR(VLOOKUP(A48,'Cadastro Geral Campistas'!$A:$R,15,0),""),""))))</f>
        <v/>
      </c>
      <c r="J48" s="58" t="str">
        <f>IFERROR(VLOOKUP(A48,'Cadastro Geral Campistas'!$A:$R,4,0),"")</f>
        <v>F</v>
      </c>
    </row>
    <row r="49" spans="1:12" ht="18" customHeight="1" x14ac:dyDescent="0.55000000000000004">
      <c r="A49" s="65">
        <v>76</v>
      </c>
      <c r="B49" s="22" t="str">
        <f>IFERROR(VLOOKUP(A49,'Cadastro Geral Campistas'!$A:$R,2,0),"")</f>
        <v>LAURA NEVES</v>
      </c>
      <c r="C49" s="23">
        <f>IFERROR(VLOOKUP(A49,'Cadastro Geral Campistas'!$A:$R,5,0),"")</f>
        <v>60</v>
      </c>
      <c r="D49" s="23">
        <f>IFERROR(VLOOKUP(A49,'Cadastro Geral Campistas'!$A:$R,6,0),"")</f>
        <v>1.56</v>
      </c>
      <c r="E49" s="23">
        <f>IFERROR(VLOOKUP(A49,'Cadastro Geral Campistas'!$A:$R,7,0),"")</f>
        <v>58</v>
      </c>
      <c r="F49" s="22" t="str">
        <f>IFERROR(VLOOKUP(A49,'Cadastro Geral Campistas'!$A:$R,9,0),"")</f>
        <v>Silvania</v>
      </c>
      <c r="G49" s="23" t="str">
        <f>IFERROR(VLOOKUP(A49,'Cadastro Geral Campistas'!$A:$R,3,0),"")</f>
        <v>G</v>
      </c>
      <c r="H49" s="22" t="str">
        <f>IFERROR(VLOOKUP(A49,'Cadastro Geral Campistas'!$A:$R,8,0),"")</f>
        <v>+55 (62) 99947-5083</v>
      </c>
      <c r="I49" s="106" t="str">
        <f>IF(AND(IFERROR(VLOOKUP(A49,'Cadastro Geral Campistas'!$A:$R,18,0),0)&gt;0,COUNTIF($A$44:$A$59,IFERROR(VLOOKUP(A49,'Cadastro Geral Campistas'!$A:$R,18,0),0))&gt;0),"⚠️ CONFLITO! Cônjuge na mesma tribo: "&amp;IFERROR(VLOOKUP(IFERROR(VLOOKUP(A49,'Cadastro Geral Campistas'!$A:$R,18,0),0),'Cadastro Geral Campistas'!$A:$R,2,""),""),TRIM(IF(AND(IFERROR(VLOOKUP(A49,'Cadastro Geral Campistas'!$A:$R,10,0),"")&lt;&gt;"",LOWER(TRIM(IFERROR(VLOOKUP(A49,'Cadastro Geral Campistas'!$A:$R,10,0),"")))&lt;&gt;"não",LOWER(TRIM(IFERROR(VLOOKUP(A49,'Cadastro Geral Campistas'!$A:$R,10,0),"")))&lt;&gt;"nao",LOWER(TRIM(IFERROR(VLOOKUP(A49,'Cadastro Geral Campistas'!$A:$R,10,0),"")))&lt;&gt;"0"),IFERROR(VLOOKUP(A49,'Cadastro Geral Campistas'!$A:$R,10,0),"")&amp;IF(AND(IFERROR(VLOOKUP(A49,'Cadastro Geral Campistas'!$A:$R,15,0),"")&lt;&gt;"",LOWER(TRIM(IFERROR(VLOOKUP(A49,'Cadastro Geral Campistas'!$A:$R,15,0),"")))&lt;&gt;"não",LOWER(TRIM(IFERROR(VLOOKUP(A49,'Cadastro Geral Campistas'!$A:$R,15,0),"")))&lt;&gt;"nao",LOWER(TRIM(IFERROR(VLOOKUP(A49,'Cadastro Geral Campistas'!$A:$R,15,0),"")))&lt;&gt;"0")," | Alergia: "&amp;IFERROR(VLOOKUP(A49,'Cadastro Geral Campistas'!$A:$R,15,0),""),""),IF(AND(IFERROR(VLOOKUP(A49,'Cadastro Geral Campistas'!$A:$R,15,0),"")&lt;&gt;"",LOWER(TRIM(IFERROR(VLOOKUP(A49,'Cadastro Geral Campistas'!$A:$R,15,0),"")))&lt;&gt;"não",LOWER(TRIM(IFERROR(VLOOKUP(A49,'Cadastro Geral Campistas'!$A:$R,15,0),"")))&lt;&gt;"nao",LOWER(TRIM(IFERROR(VLOOKUP(A49,'Cadastro Geral Campistas'!$A:$R,15,0),"")))&lt;&gt;"0"),"Alergia: "&amp;IFERROR(VLOOKUP(A49,'Cadastro Geral Campistas'!$A:$R,15,0),""),""))))</f>
        <v>Carlos Bruno, Carla Rodrigues, Tânia Monica</v>
      </c>
      <c r="J49" s="66" t="str">
        <f>IFERROR(VLOOKUP(A49,'Cadastro Geral Campistas'!$A:$R,4,0),"")</f>
        <v>F</v>
      </c>
    </row>
    <row r="50" spans="1:12" ht="18" customHeight="1" x14ac:dyDescent="0.55000000000000004">
      <c r="A50" s="57">
        <v>80</v>
      </c>
      <c r="B50" s="7" t="str">
        <f>IFERROR(VLOOKUP(A50,'Cadastro Geral Campistas'!$A:$R,2,0),"")</f>
        <v>LUARA COUTO BARBOZA</v>
      </c>
      <c r="C50" s="6">
        <f>IFERROR(VLOOKUP(A50,'Cadastro Geral Campistas'!$A:$R,5,0),"")</f>
        <v>48</v>
      </c>
      <c r="D50" s="6">
        <f>IFERROR(VLOOKUP(A50,'Cadastro Geral Campistas'!$A:$R,6,0),"")</f>
        <v>1.48</v>
      </c>
      <c r="E50" s="6">
        <f>IFERROR(VLOOKUP(A50,'Cadastro Geral Campistas'!$A:$R,7,0),"")</f>
        <v>23</v>
      </c>
      <c r="F50" s="7" t="str">
        <f>IFERROR(VLOOKUP(A50,'Cadastro Geral Campistas'!$A:$R,9,0),"")</f>
        <v>Goiânia</v>
      </c>
      <c r="G50" s="6" t="str">
        <f>IFERROR(VLOOKUP(A50,'Cadastro Geral Campistas'!$A:$R,3,0),"")</f>
        <v>PP</v>
      </c>
      <c r="H50" s="7" t="str">
        <f>IFERROR(VLOOKUP(A50,'Cadastro Geral Campistas'!$A:$R,8,0),"")</f>
        <v>+55 (62) 99258-6183</v>
      </c>
      <c r="I50" s="101" t="str">
        <f>IF(AND(IFERROR(VLOOKUP(A50,'Cadastro Geral Campistas'!$A:$R,18,0),0)&gt;0,COUNTIF($A$44:$A$59,IFERROR(VLOOKUP(A50,'Cadastro Geral Campistas'!$A:$R,18,0),0))&gt;0),"⚠️ CONFLITO! Cônjuge na mesma tribo: "&amp;IFERROR(VLOOKUP(IFERROR(VLOOKUP(A50,'Cadastro Geral Campistas'!$A:$R,18,0),0),'Cadastro Geral Campistas'!$A:$R,2,""),""),TRIM(IF(AND(IFERROR(VLOOKUP(A50,'Cadastro Geral Campistas'!$A:$R,10,0),"")&lt;&gt;"",LOWER(TRIM(IFERROR(VLOOKUP(A50,'Cadastro Geral Campistas'!$A:$R,10,0),"")))&lt;&gt;"não",LOWER(TRIM(IFERROR(VLOOKUP(A50,'Cadastro Geral Campistas'!$A:$R,10,0),"")))&lt;&gt;"nao",LOWER(TRIM(IFERROR(VLOOKUP(A50,'Cadastro Geral Campistas'!$A:$R,10,0),"")))&lt;&gt;"0"),IFERROR(VLOOKUP(A50,'Cadastro Geral Campistas'!$A:$R,10,0),"")&amp;IF(AND(IFERROR(VLOOKUP(A50,'Cadastro Geral Campistas'!$A:$R,15,0),"")&lt;&gt;"",LOWER(TRIM(IFERROR(VLOOKUP(A50,'Cadastro Geral Campistas'!$A:$R,15,0),"")))&lt;&gt;"não",LOWER(TRIM(IFERROR(VLOOKUP(A50,'Cadastro Geral Campistas'!$A:$R,15,0),"")))&lt;&gt;"nao",LOWER(TRIM(IFERROR(VLOOKUP(A50,'Cadastro Geral Campistas'!$A:$R,15,0),"")))&lt;&gt;"0")," | Alergia: "&amp;IFERROR(VLOOKUP(A50,'Cadastro Geral Campistas'!$A:$R,15,0),""),""),IF(AND(IFERROR(VLOOKUP(A50,'Cadastro Geral Campistas'!$A:$R,15,0),"")&lt;&gt;"",LOWER(TRIM(IFERROR(VLOOKUP(A50,'Cadastro Geral Campistas'!$A:$R,15,0),"")))&lt;&gt;"não",LOWER(TRIM(IFERROR(VLOOKUP(A50,'Cadastro Geral Campistas'!$A:$R,15,0),"")))&lt;&gt;"nao",LOWER(TRIM(IFERROR(VLOOKUP(A50,'Cadastro Geral Campistas'!$A:$R,15,0),"")))&lt;&gt;"0"),"Alergia: "&amp;IFERROR(VLOOKUP(A50,'Cadastro Geral Campistas'!$A:$R,15,0),""),""))))</f>
        <v>Alergia: rinite alérgica, alergia a cachorro e gato</v>
      </c>
      <c r="J50" s="58" t="str">
        <f>IFERROR(VLOOKUP(A50,'Cadastro Geral Campistas'!$A:$R,4,0),"")</f>
        <v>F</v>
      </c>
    </row>
    <row r="51" spans="1:12" ht="18" customHeight="1" x14ac:dyDescent="0.55000000000000004">
      <c r="A51" s="65">
        <v>109</v>
      </c>
      <c r="B51" s="22" t="str">
        <f>IFERROR(VLOOKUP(A51,'Cadastro Geral Campistas'!$A:$R,2,0),"")</f>
        <v>Nycolly Alves Santos</v>
      </c>
      <c r="C51" s="23">
        <f>IFERROR(VLOOKUP(A51,'Cadastro Geral Campistas'!$A:$R,5,0),"")</f>
        <v>104</v>
      </c>
      <c r="D51" s="23">
        <f>IFERROR(VLOOKUP(A51,'Cadastro Geral Campistas'!$A:$R,6,0),"")</f>
        <v>1.76</v>
      </c>
      <c r="E51" s="23">
        <f>IFERROR(VLOOKUP(A51,'Cadastro Geral Campistas'!$A:$R,7,0),"")</f>
        <v>22</v>
      </c>
      <c r="F51" s="22" t="str">
        <f>IFERROR(VLOOKUP(A51,'Cadastro Geral Campistas'!$A:$R,9,0),"")</f>
        <v>Goiânia</v>
      </c>
      <c r="G51" s="23" t="str">
        <f>IFERROR(VLOOKUP(A51,'Cadastro Geral Campistas'!$A:$R,3,0),"")</f>
        <v>GG</v>
      </c>
      <c r="H51" s="22" t="str">
        <f>IFERROR(VLOOKUP(A51,'Cadastro Geral Campistas'!$A:$R,8,0),"")</f>
        <v>+55 (62) 98219-3730</v>
      </c>
      <c r="I51" s="106" t="str">
        <f>IF(AND(IFERROR(VLOOKUP(A51,'Cadastro Geral Campistas'!$A:$R,18,0),0)&gt;0,COUNTIF($A$44:$A$59,IFERROR(VLOOKUP(A51,'Cadastro Geral Campistas'!$A:$R,18,0),0))&gt;0),"⚠️ CONFLITO! Cônjuge na mesma tribo: "&amp;IFERROR(VLOOKUP(IFERROR(VLOOKUP(A51,'Cadastro Geral Campistas'!$A:$R,18,0),0),'Cadastro Geral Campistas'!$A:$R,2,""),""),TRIM(IF(AND(IFERROR(VLOOKUP(A51,'Cadastro Geral Campistas'!$A:$R,10,0),"")&lt;&gt;"",LOWER(TRIM(IFERROR(VLOOKUP(A51,'Cadastro Geral Campistas'!$A:$R,10,0),"")))&lt;&gt;"não",LOWER(TRIM(IFERROR(VLOOKUP(A51,'Cadastro Geral Campistas'!$A:$R,10,0),"")))&lt;&gt;"nao",LOWER(TRIM(IFERROR(VLOOKUP(A51,'Cadastro Geral Campistas'!$A:$R,10,0),"")))&lt;&gt;"0"),IFERROR(VLOOKUP(A51,'Cadastro Geral Campistas'!$A:$R,10,0),"")&amp;IF(AND(IFERROR(VLOOKUP(A51,'Cadastro Geral Campistas'!$A:$R,15,0),"")&lt;&gt;"",LOWER(TRIM(IFERROR(VLOOKUP(A51,'Cadastro Geral Campistas'!$A:$R,15,0),"")))&lt;&gt;"não",LOWER(TRIM(IFERROR(VLOOKUP(A51,'Cadastro Geral Campistas'!$A:$R,15,0),"")))&lt;&gt;"nao",LOWER(TRIM(IFERROR(VLOOKUP(A51,'Cadastro Geral Campistas'!$A:$R,15,0),"")))&lt;&gt;"0")," | Alergia: "&amp;IFERROR(VLOOKUP(A51,'Cadastro Geral Campistas'!$A:$R,15,0),""),""),IF(AND(IFERROR(VLOOKUP(A51,'Cadastro Geral Campistas'!$A:$R,15,0),"")&lt;&gt;"",LOWER(TRIM(IFERROR(VLOOKUP(A51,'Cadastro Geral Campistas'!$A:$R,15,0),"")))&lt;&gt;"não",LOWER(TRIM(IFERROR(VLOOKUP(A51,'Cadastro Geral Campistas'!$A:$R,15,0),"")))&lt;&gt;"nao",LOWER(TRIM(IFERROR(VLOOKUP(A51,'Cadastro Geral Campistas'!$A:$R,15,0),"")))&lt;&gt;"0"),"Alergia: "&amp;IFERROR(VLOOKUP(A51,'Cadastro Geral Campistas'!$A:$R,15,0),""),""))))</f>
        <v/>
      </c>
      <c r="J51" s="66" t="str">
        <f>IFERROR(VLOOKUP(A51,'Cadastro Geral Campistas'!$A:$R,4,0),"")</f>
        <v>F</v>
      </c>
    </row>
    <row r="52" spans="1:12" ht="18" customHeight="1" x14ac:dyDescent="0.55000000000000004">
      <c r="A52" s="57">
        <v>2</v>
      </c>
      <c r="B52" s="7" t="str">
        <f>IFERROR(VLOOKUP(A52,'Cadastro Geral Campistas'!$A:$R,2,0),"")</f>
        <v>Affonso Moreira Cardoso</v>
      </c>
      <c r="C52" s="6">
        <f>IFERROR(VLOOKUP(A52,'Cadastro Geral Campistas'!$A:$R,5,0),"")</f>
        <v>75</v>
      </c>
      <c r="D52" s="6">
        <f>IFERROR(VLOOKUP(A52,'Cadastro Geral Campistas'!$A:$R,6,0),"")</f>
        <v>1.65</v>
      </c>
      <c r="E52" s="6">
        <f>IFERROR(VLOOKUP(A52,'Cadastro Geral Campistas'!$A:$R,7,0),"")</f>
        <v>39</v>
      </c>
      <c r="F52" s="7" t="str">
        <f>IFERROR(VLOOKUP(A52,'Cadastro Geral Campistas'!$A:$R,9,0),"")</f>
        <v>Goiania</v>
      </c>
      <c r="G52" s="6" t="str">
        <f>IFERROR(VLOOKUP(A52,'Cadastro Geral Campistas'!$A:$R,3,0),"")</f>
        <v>M</v>
      </c>
      <c r="H52" s="7" t="str">
        <f>IFERROR(VLOOKUP(A52,'Cadastro Geral Campistas'!$A:$R,8,0),"")</f>
        <v>+55 (62) 98279-1421</v>
      </c>
      <c r="I52" s="101" t="str">
        <f>IF(AND(IFERROR(VLOOKUP(A52,'Cadastro Geral Campistas'!$A:$R,18,0),0)&gt;0,COUNTIF($A$44:$A$59,IFERROR(VLOOKUP(A52,'Cadastro Geral Campistas'!$A:$R,18,0),0))&gt;0),"⚠️ CONFLITO! Cônjuge na mesma tribo: "&amp;IFERROR(VLOOKUP(IFERROR(VLOOKUP(A52,'Cadastro Geral Campistas'!$A:$R,18,0),0),'Cadastro Geral Campistas'!$A:$R,2,""),""),TRIM(IF(AND(IFERROR(VLOOKUP(A52,'Cadastro Geral Campistas'!$A:$R,10,0),"")&lt;&gt;"",LOWER(TRIM(IFERROR(VLOOKUP(A52,'Cadastro Geral Campistas'!$A:$R,10,0),"")))&lt;&gt;"não",LOWER(TRIM(IFERROR(VLOOKUP(A52,'Cadastro Geral Campistas'!$A:$R,10,0),"")))&lt;&gt;"nao",LOWER(TRIM(IFERROR(VLOOKUP(A52,'Cadastro Geral Campistas'!$A:$R,10,0),"")))&lt;&gt;"0"),IFERROR(VLOOKUP(A52,'Cadastro Geral Campistas'!$A:$R,10,0),"")&amp;IF(AND(IFERROR(VLOOKUP(A52,'Cadastro Geral Campistas'!$A:$R,15,0),"")&lt;&gt;"",LOWER(TRIM(IFERROR(VLOOKUP(A52,'Cadastro Geral Campistas'!$A:$R,15,0),"")))&lt;&gt;"não",LOWER(TRIM(IFERROR(VLOOKUP(A52,'Cadastro Geral Campistas'!$A:$R,15,0),"")))&lt;&gt;"nao",LOWER(TRIM(IFERROR(VLOOKUP(A52,'Cadastro Geral Campistas'!$A:$R,15,0),"")))&lt;&gt;"0")," | Alergia: "&amp;IFERROR(VLOOKUP(A52,'Cadastro Geral Campistas'!$A:$R,15,0),""),""),IF(AND(IFERROR(VLOOKUP(A52,'Cadastro Geral Campistas'!$A:$R,15,0),"")&lt;&gt;"",LOWER(TRIM(IFERROR(VLOOKUP(A52,'Cadastro Geral Campistas'!$A:$R,15,0),"")))&lt;&gt;"não",LOWER(TRIM(IFERROR(VLOOKUP(A52,'Cadastro Geral Campistas'!$A:$R,15,0),"")))&lt;&gt;"nao",LOWER(TRIM(IFERROR(VLOOKUP(A52,'Cadastro Geral Campistas'!$A:$R,15,0),"")))&lt;&gt;"0"),"Alergia: "&amp;IFERROR(VLOOKUP(A52,'Cadastro Geral Campistas'!$A:$R,15,0),""),""))))</f>
        <v/>
      </c>
      <c r="J52" s="58" t="str">
        <f>IFERROR(VLOOKUP(A52,'Cadastro Geral Campistas'!$A:$R,4,0),"")</f>
        <v>M</v>
      </c>
    </row>
    <row r="53" spans="1:12" ht="18" customHeight="1" x14ac:dyDescent="0.55000000000000004">
      <c r="A53" s="65">
        <v>22</v>
      </c>
      <c r="B53" s="22" t="str">
        <f>IFERROR(VLOOKUP(A53,'Cadastro Geral Campistas'!$A:$R,2,0),"")</f>
        <v>Cassiano Resende</v>
      </c>
      <c r="C53" s="23">
        <f>IFERROR(VLOOKUP(A53,'Cadastro Geral Campistas'!$A:$R,5,0),"")</f>
        <v>89</v>
      </c>
      <c r="D53" s="23">
        <f>IFERROR(VLOOKUP(A53,'Cadastro Geral Campistas'!$A:$R,6,0),"")</f>
        <v>1.75</v>
      </c>
      <c r="E53" s="23">
        <f>IFERROR(VLOOKUP(A53,'Cadastro Geral Campistas'!$A:$R,7,0),"")</f>
        <v>36</v>
      </c>
      <c r="F53" s="22" t="str">
        <f>IFERROR(VLOOKUP(A53,'Cadastro Geral Campistas'!$A:$R,9,0),"")</f>
        <v>Mairipotaba</v>
      </c>
      <c r="G53" s="23" t="str">
        <f>IFERROR(VLOOKUP(A53,'Cadastro Geral Campistas'!$A:$R,3,0),"")</f>
        <v>GG</v>
      </c>
      <c r="H53" s="22" t="str">
        <f>IFERROR(VLOOKUP(A53,'Cadastro Geral Campistas'!$A:$R,8,0),"")</f>
        <v>+55 (62) 98500-0392</v>
      </c>
      <c r="I53" s="106" t="str">
        <f>IF(AND(IFERROR(VLOOKUP(A53,'Cadastro Geral Campistas'!$A:$R,18,0),0)&gt;0,COUNTIF($A$44:$A$59,IFERROR(VLOOKUP(A53,'Cadastro Geral Campistas'!$A:$R,18,0),0))&gt;0),"⚠️ CONFLITO! Cônjuge na mesma tribo: "&amp;IFERROR(VLOOKUP(IFERROR(VLOOKUP(A53,'Cadastro Geral Campistas'!$A:$R,18,0),0),'Cadastro Geral Campistas'!$A:$R,2,""),""),TRIM(IF(AND(IFERROR(VLOOKUP(A53,'Cadastro Geral Campistas'!$A:$R,10,0),"")&lt;&gt;"",LOWER(TRIM(IFERROR(VLOOKUP(A53,'Cadastro Geral Campistas'!$A:$R,10,0),"")))&lt;&gt;"não",LOWER(TRIM(IFERROR(VLOOKUP(A53,'Cadastro Geral Campistas'!$A:$R,10,0),"")))&lt;&gt;"nao",LOWER(TRIM(IFERROR(VLOOKUP(A53,'Cadastro Geral Campistas'!$A:$R,10,0),"")))&lt;&gt;"0"),IFERROR(VLOOKUP(A53,'Cadastro Geral Campistas'!$A:$R,10,0),"")&amp;IF(AND(IFERROR(VLOOKUP(A53,'Cadastro Geral Campistas'!$A:$R,15,0),"")&lt;&gt;"",LOWER(TRIM(IFERROR(VLOOKUP(A53,'Cadastro Geral Campistas'!$A:$R,15,0),"")))&lt;&gt;"não",LOWER(TRIM(IFERROR(VLOOKUP(A53,'Cadastro Geral Campistas'!$A:$R,15,0),"")))&lt;&gt;"nao",LOWER(TRIM(IFERROR(VLOOKUP(A53,'Cadastro Geral Campistas'!$A:$R,15,0),"")))&lt;&gt;"0")," | Alergia: "&amp;IFERROR(VLOOKUP(A53,'Cadastro Geral Campistas'!$A:$R,15,0),""),""),IF(AND(IFERROR(VLOOKUP(A53,'Cadastro Geral Campistas'!$A:$R,15,0),"")&lt;&gt;"",LOWER(TRIM(IFERROR(VLOOKUP(A53,'Cadastro Geral Campistas'!$A:$R,15,0),"")))&lt;&gt;"não",LOWER(TRIM(IFERROR(VLOOKUP(A53,'Cadastro Geral Campistas'!$A:$R,15,0),"")))&lt;&gt;"nao",LOWER(TRIM(IFERROR(VLOOKUP(A53,'Cadastro Geral Campistas'!$A:$R,15,0),"")))&lt;&gt;"0"),"Alergia: "&amp;IFERROR(VLOOKUP(A53,'Cadastro Geral Campistas'!$A:$R,15,0),""),""))))</f>
        <v>Fabricio Michel</v>
      </c>
      <c r="J53" s="66" t="str">
        <f>IFERROR(VLOOKUP(A53,'Cadastro Geral Campistas'!$A:$R,4,0),"")</f>
        <v>M</v>
      </c>
    </row>
    <row r="54" spans="1:12" ht="18" customHeight="1" x14ac:dyDescent="0.55000000000000004">
      <c r="A54" s="57">
        <v>36</v>
      </c>
      <c r="B54" s="7" t="str">
        <f>IFERROR(VLOOKUP(A54,'Cadastro Geral Campistas'!$A:$R,2,0),"")</f>
        <v>Edson Luiz Pacheco Junior</v>
      </c>
      <c r="C54" s="6">
        <f>IFERROR(VLOOKUP(A54,'Cadastro Geral Campistas'!$A:$R,5,0),"")</f>
        <v>85</v>
      </c>
      <c r="D54" s="6">
        <f>IFERROR(VLOOKUP(A54,'Cadastro Geral Campistas'!$A:$R,6,0),"")</f>
        <v>0</v>
      </c>
      <c r="E54" s="6">
        <f>IFERROR(VLOOKUP(A54,'Cadastro Geral Campistas'!$A:$R,7,0),"")</f>
        <v>25</v>
      </c>
      <c r="F54" s="7" t="str">
        <f>IFERROR(VLOOKUP(A54,'Cadastro Geral Campistas'!$A:$R,9,0),"")</f>
        <v>Goiânia</v>
      </c>
      <c r="G54" s="6" t="str">
        <f>IFERROR(VLOOKUP(A54,'Cadastro Geral Campistas'!$A:$R,3,0),"")</f>
        <v>G</v>
      </c>
      <c r="H54" s="7" t="str">
        <f>IFERROR(VLOOKUP(A54,'Cadastro Geral Campistas'!$A:$R,8,0),"")</f>
        <v>+55 (62) 99477-9724</v>
      </c>
      <c r="I54" s="101" t="str">
        <f>IF(AND(IFERROR(VLOOKUP(A54,'Cadastro Geral Campistas'!$A:$R,18,0),0)&gt;0,COUNTIF($A$44:$A$59,IFERROR(VLOOKUP(A54,'Cadastro Geral Campistas'!$A:$R,18,0),0))&gt;0),"⚠️ CONFLITO! Cônjuge na mesma tribo: "&amp;IFERROR(VLOOKUP(IFERROR(VLOOKUP(A54,'Cadastro Geral Campistas'!$A:$R,18,0),0),'Cadastro Geral Campistas'!$A:$R,2,""),""),TRIM(IF(AND(IFERROR(VLOOKUP(A54,'Cadastro Geral Campistas'!$A:$R,10,0),"")&lt;&gt;"",LOWER(TRIM(IFERROR(VLOOKUP(A54,'Cadastro Geral Campistas'!$A:$R,10,0),"")))&lt;&gt;"não",LOWER(TRIM(IFERROR(VLOOKUP(A54,'Cadastro Geral Campistas'!$A:$R,10,0),"")))&lt;&gt;"nao",LOWER(TRIM(IFERROR(VLOOKUP(A54,'Cadastro Geral Campistas'!$A:$R,10,0),"")))&lt;&gt;"0"),IFERROR(VLOOKUP(A54,'Cadastro Geral Campistas'!$A:$R,10,0),"")&amp;IF(AND(IFERROR(VLOOKUP(A54,'Cadastro Geral Campistas'!$A:$R,15,0),"")&lt;&gt;"",LOWER(TRIM(IFERROR(VLOOKUP(A54,'Cadastro Geral Campistas'!$A:$R,15,0),"")))&lt;&gt;"não",LOWER(TRIM(IFERROR(VLOOKUP(A54,'Cadastro Geral Campistas'!$A:$R,15,0),"")))&lt;&gt;"nao",LOWER(TRIM(IFERROR(VLOOKUP(A54,'Cadastro Geral Campistas'!$A:$R,15,0),"")))&lt;&gt;"0")," | Alergia: "&amp;IFERROR(VLOOKUP(A54,'Cadastro Geral Campistas'!$A:$R,15,0),""),""),IF(AND(IFERROR(VLOOKUP(A54,'Cadastro Geral Campistas'!$A:$R,15,0),"")&lt;&gt;"",LOWER(TRIM(IFERROR(VLOOKUP(A54,'Cadastro Geral Campistas'!$A:$R,15,0),"")))&lt;&gt;"não",LOWER(TRIM(IFERROR(VLOOKUP(A54,'Cadastro Geral Campistas'!$A:$R,15,0),"")))&lt;&gt;"nao",LOWER(TRIM(IFERROR(VLOOKUP(A54,'Cadastro Geral Campistas'!$A:$R,15,0),"")))&lt;&gt;"0"),"Alergia: "&amp;IFERROR(VLOOKUP(A54,'Cadastro Geral Campistas'!$A:$R,15,0),""),""))))</f>
        <v>esposa Sara Angel, amigos: Josane, Pedro Luan, e Thais (está na reserva) | Alergia: intolerância a lactose</v>
      </c>
      <c r="J54" s="58" t="str">
        <f>IFERROR(VLOOKUP(A54,'Cadastro Geral Campistas'!$A:$R,4,0),"")</f>
        <v>M</v>
      </c>
    </row>
    <row r="55" spans="1:12" ht="18" customHeight="1" x14ac:dyDescent="0.55000000000000004">
      <c r="A55" s="65">
        <v>64</v>
      </c>
      <c r="B55" s="22" t="str">
        <f>IFERROR(VLOOKUP(A55,'Cadastro Geral Campistas'!$A:$R,2,0),"")</f>
        <v>João Batista Espíndola</v>
      </c>
      <c r="C55" s="23">
        <f>IFERROR(VLOOKUP(A55,'Cadastro Geral Campistas'!$A:$R,5,0),"")</f>
        <v>92</v>
      </c>
      <c r="D55" s="23">
        <f>IFERROR(VLOOKUP(A55,'Cadastro Geral Campistas'!$A:$R,6,0),"")</f>
        <v>1.7</v>
      </c>
      <c r="E55" s="23">
        <f>IFERROR(VLOOKUP(A55,'Cadastro Geral Campistas'!$A:$R,7,0),"")</f>
        <v>45</v>
      </c>
      <c r="F55" s="22" t="str">
        <f>IFERROR(VLOOKUP(A55,'Cadastro Geral Campistas'!$A:$R,9,0),"")</f>
        <v>Goiânia</v>
      </c>
      <c r="G55" s="23" t="str">
        <f>IFERROR(VLOOKUP(A55,'Cadastro Geral Campistas'!$A:$R,3,0),"")</f>
        <v>G</v>
      </c>
      <c r="H55" s="22" t="str">
        <f>IFERROR(VLOOKUP(A55,'Cadastro Geral Campistas'!$A:$R,8,0),"")</f>
        <v>+55 (62) 99968-4577</v>
      </c>
      <c r="I55" s="106" t="str">
        <f>IF(AND(IFERROR(VLOOKUP(A55,'Cadastro Geral Campistas'!$A:$R,18,0),0)&gt;0,COUNTIF($A$44:$A$59,IFERROR(VLOOKUP(A55,'Cadastro Geral Campistas'!$A:$R,18,0),0))&gt;0),"⚠️ CONFLITO! Cônjuge na mesma tribo: "&amp;IFERROR(VLOOKUP(IFERROR(VLOOKUP(A55,'Cadastro Geral Campistas'!$A:$R,18,0),0),'Cadastro Geral Campistas'!$A:$R,2,""),""),TRIM(IF(AND(IFERROR(VLOOKUP(A55,'Cadastro Geral Campistas'!$A:$R,10,0),"")&lt;&gt;"",LOWER(TRIM(IFERROR(VLOOKUP(A55,'Cadastro Geral Campistas'!$A:$R,10,0),"")))&lt;&gt;"não",LOWER(TRIM(IFERROR(VLOOKUP(A55,'Cadastro Geral Campistas'!$A:$R,10,0),"")))&lt;&gt;"nao",LOWER(TRIM(IFERROR(VLOOKUP(A55,'Cadastro Geral Campistas'!$A:$R,10,0),"")))&lt;&gt;"0"),IFERROR(VLOOKUP(A55,'Cadastro Geral Campistas'!$A:$R,10,0),"")&amp;IF(AND(IFERROR(VLOOKUP(A55,'Cadastro Geral Campistas'!$A:$R,15,0),"")&lt;&gt;"",LOWER(TRIM(IFERROR(VLOOKUP(A55,'Cadastro Geral Campistas'!$A:$R,15,0),"")))&lt;&gt;"não",LOWER(TRIM(IFERROR(VLOOKUP(A55,'Cadastro Geral Campistas'!$A:$R,15,0),"")))&lt;&gt;"nao",LOWER(TRIM(IFERROR(VLOOKUP(A55,'Cadastro Geral Campistas'!$A:$R,15,0),"")))&lt;&gt;"0")," | Alergia: "&amp;IFERROR(VLOOKUP(A55,'Cadastro Geral Campistas'!$A:$R,15,0),""),""),IF(AND(IFERROR(VLOOKUP(A55,'Cadastro Geral Campistas'!$A:$R,15,0),"")&lt;&gt;"",LOWER(TRIM(IFERROR(VLOOKUP(A55,'Cadastro Geral Campistas'!$A:$R,15,0),"")))&lt;&gt;"não",LOWER(TRIM(IFERROR(VLOOKUP(A55,'Cadastro Geral Campistas'!$A:$R,15,0),"")))&lt;&gt;"nao",LOWER(TRIM(IFERROR(VLOOKUP(A55,'Cadastro Geral Campistas'!$A:$R,15,0),"")))&lt;&gt;"0"),"Alergia: "&amp;IFERROR(VLOOKUP(A55,'Cadastro Geral Campistas'!$A:$R,15,0),""),""))))</f>
        <v/>
      </c>
      <c r="J55" s="66" t="str">
        <f>IFERROR(VLOOKUP(A55,'Cadastro Geral Campistas'!$A:$R,4,0),"")</f>
        <v>M</v>
      </c>
    </row>
    <row r="56" spans="1:12" ht="18" customHeight="1" x14ac:dyDescent="0.55000000000000004">
      <c r="A56" s="57">
        <v>86</v>
      </c>
      <c r="B56" s="7" t="str">
        <f>IFERROR(VLOOKUP(A56,'Cadastro Geral Campistas'!$A:$R,2,0),"")</f>
        <v>Luigi Gabriel Batista do Carmo</v>
      </c>
      <c r="C56" s="6">
        <f>IFERROR(VLOOKUP(A56,'Cadastro Geral Campistas'!$A:$R,5,0),"")</f>
        <v>93</v>
      </c>
      <c r="D56" s="6">
        <f>IFERROR(VLOOKUP(A56,'Cadastro Geral Campistas'!$A:$R,6,0),"")</f>
        <v>1.87</v>
      </c>
      <c r="E56" s="6">
        <f>IFERROR(VLOOKUP(A56,'Cadastro Geral Campistas'!$A:$R,7,0),"")</f>
        <v>27</v>
      </c>
      <c r="F56" s="7" t="str">
        <f>IFERROR(VLOOKUP(A56,'Cadastro Geral Campistas'!$A:$R,9,0),"")</f>
        <v>Goiania</v>
      </c>
      <c r="G56" s="6" t="str">
        <f>IFERROR(VLOOKUP(A56,'Cadastro Geral Campistas'!$A:$R,3,0),"")</f>
        <v>G</v>
      </c>
      <c r="H56" s="7" t="str">
        <f>IFERROR(VLOOKUP(A56,'Cadastro Geral Campistas'!$A:$R,8,0),"")</f>
        <v>(61) 99630-4055</v>
      </c>
      <c r="I56" s="101" t="str">
        <f>IF(AND(IFERROR(VLOOKUP(A56,'Cadastro Geral Campistas'!$A:$R,18,0),0)&gt;0,COUNTIF($A$44:$A$59,IFERROR(VLOOKUP(A56,'Cadastro Geral Campistas'!$A:$R,18,0),0))&gt;0),"⚠️ CONFLITO! Cônjuge na mesma tribo: "&amp;IFERROR(VLOOKUP(IFERROR(VLOOKUP(A56,'Cadastro Geral Campistas'!$A:$R,18,0),0),'Cadastro Geral Campistas'!$A:$R,2,""),""),TRIM(IF(AND(IFERROR(VLOOKUP(A56,'Cadastro Geral Campistas'!$A:$R,10,0),"")&lt;&gt;"",LOWER(TRIM(IFERROR(VLOOKUP(A56,'Cadastro Geral Campistas'!$A:$R,10,0),"")))&lt;&gt;"não",LOWER(TRIM(IFERROR(VLOOKUP(A56,'Cadastro Geral Campistas'!$A:$R,10,0),"")))&lt;&gt;"nao",LOWER(TRIM(IFERROR(VLOOKUP(A56,'Cadastro Geral Campistas'!$A:$R,10,0),"")))&lt;&gt;"0"),IFERROR(VLOOKUP(A56,'Cadastro Geral Campistas'!$A:$R,10,0),"")&amp;IF(AND(IFERROR(VLOOKUP(A56,'Cadastro Geral Campistas'!$A:$R,15,0),"")&lt;&gt;"",LOWER(TRIM(IFERROR(VLOOKUP(A56,'Cadastro Geral Campistas'!$A:$R,15,0),"")))&lt;&gt;"não",LOWER(TRIM(IFERROR(VLOOKUP(A56,'Cadastro Geral Campistas'!$A:$R,15,0),"")))&lt;&gt;"nao",LOWER(TRIM(IFERROR(VLOOKUP(A56,'Cadastro Geral Campistas'!$A:$R,15,0),"")))&lt;&gt;"0")," | Alergia: "&amp;IFERROR(VLOOKUP(A56,'Cadastro Geral Campistas'!$A:$R,15,0),""),""),IF(AND(IFERROR(VLOOKUP(A56,'Cadastro Geral Campistas'!$A:$R,15,0),"")&lt;&gt;"",LOWER(TRIM(IFERROR(VLOOKUP(A56,'Cadastro Geral Campistas'!$A:$R,15,0),"")))&lt;&gt;"não",LOWER(TRIM(IFERROR(VLOOKUP(A56,'Cadastro Geral Campistas'!$A:$R,15,0),"")))&lt;&gt;"nao",LOWER(TRIM(IFERROR(VLOOKUP(A56,'Cadastro Geral Campistas'!$A:$R,15,0),"")))&lt;&gt;"0"),"Alergia: "&amp;IFERROR(VLOOKUP(A56,'Cadastro Geral Campistas'!$A:$R,15,0),""),""))))</f>
        <v/>
      </c>
      <c r="J56" s="58" t="str">
        <f>IFERROR(VLOOKUP(A56,'Cadastro Geral Campistas'!$A:$R,4,0),"")</f>
        <v>M</v>
      </c>
    </row>
    <row r="57" spans="1:12" ht="18" customHeight="1" x14ac:dyDescent="0.55000000000000004">
      <c r="A57" s="55">
        <v>93</v>
      </c>
      <c r="B57" s="3" t="str">
        <f>IFERROR(VLOOKUP(A57,'Cadastro Geral Campistas'!$A:$R,2,0),"")</f>
        <v>Marcos Vinícius Batista Ferreira</v>
      </c>
      <c r="C57" s="2">
        <f>IFERROR(VLOOKUP(A57,'Cadastro Geral Campistas'!$A:$R,5,0),"")</f>
        <v>60</v>
      </c>
      <c r="D57" s="2">
        <f>IFERROR(VLOOKUP(A57,'Cadastro Geral Campistas'!$A:$R,6,0),"")</f>
        <v>1.65</v>
      </c>
      <c r="E57" s="2">
        <f>IFERROR(VLOOKUP(A57,'Cadastro Geral Campistas'!$A:$R,7,0),"")</f>
        <v>23</v>
      </c>
      <c r="F57" s="3" t="str">
        <f>IFERROR(VLOOKUP(A57,'Cadastro Geral Campistas'!$A:$R,9,0),"")</f>
        <v>Vianopolis</v>
      </c>
      <c r="G57" s="2" t="str">
        <f>IFERROR(VLOOKUP(A57,'Cadastro Geral Campistas'!$A:$R,3,0),"")</f>
        <v>P</v>
      </c>
      <c r="H57" s="3" t="str">
        <f>IFERROR(VLOOKUP(A57,'Cadastro Geral Campistas'!$A:$R,8,0),"")</f>
        <v>+55 (62) 99943-5664</v>
      </c>
      <c r="I57" s="103" t="str">
        <f>IF(AND(IFERROR(VLOOKUP(A57,'Cadastro Geral Campistas'!$A:$R,18,0),0)&gt;0,COUNTIF($A$44:$A$59,IFERROR(VLOOKUP(A57,'Cadastro Geral Campistas'!$A:$R,18,0),0))&gt;0),"⚠️ CONFLITO! Cônjuge na mesma tribo: "&amp;IFERROR(VLOOKUP(IFERROR(VLOOKUP(A57,'Cadastro Geral Campistas'!$A:$R,18,0),0),'Cadastro Geral Campistas'!$A:$R,2,""),""),TRIM(IF(AND(IFERROR(VLOOKUP(A57,'Cadastro Geral Campistas'!$A:$R,10,0),"")&lt;&gt;"",LOWER(TRIM(IFERROR(VLOOKUP(A57,'Cadastro Geral Campistas'!$A:$R,10,0),"")))&lt;&gt;"não",LOWER(TRIM(IFERROR(VLOOKUP(A57,'Cadastro Geral Campistas'!$A:$R,10,0),"")))&lt;&gt;"nao",LOWER(TRIM(IFERROR(VLOOKUP(A57,'Cadastro Geral Campistas'!$A:$R,10,0),"")))&lt;&gt;"0"),IFERROR(VLOOKUP(A57,'Cadastro Geral Campistas'!$A:$R,10,0),"")&amp;IF(AND(IFERROR(VLOOKUP(A57,'Cadastro Geral Campistas'!$A:$R,15,0),"")&lt;&gt;"",LOWER(TRIM(IFERROR(VLOOKUP(A57,'Cadastro Geral Campistas'!$A:$R,15,0),"")))&lt;&gt;"não",LOWER(TRIM(IFERROR(VLOOKUP(A57,'Cadastro Geral Campistas'!$A:$R,15,0),"")))&lt;&gt;"nao",LOWER(TRIM(IFERROR(VLOOKUP(A57,'Cadastro Geral Campistas'!$A:$R,15,0),"")))&lt;&gt;"0")," | Alergia: "&amp;IFERROR(VLOOKUP(A57,'Cadastro Geral Campistas'!$A:$R,15,0),""),""),IF(AND(IFERROR(VLOOKUP(A57,'Cadastro Geral Campistas'!$A:$R,15,0),"")&lt;&gt;"",LOWER(TRIM(IFERROR(VLOOKUP(A57,'Cadastro Geral Campistas'!$A:$R,15,0),"")))&lt;&gt;"não",LOWER(TRIM(IFERROR(VLOOKUP(A57,'Cadastro Geral Campistas'!$A:$R,15,0),"")))&lt;&gt;"nao",LOWER(TRIM(IFERROR(VLOOKUP(A57,'Cadastro Geral Campistas'!$A:$R,15,0),"")))&lt;&gt;"0"),"Alergia: "&amp;IFERROR(VLOOKUP(A57,'Cadastro Geral Campistas'!$A:$R,15,0),""),""))))</f>
        <v>Namorada (Rafaela Freitas)</v>
      </c>
      <c r="J57" s="56" t="str">
        <f>IFERROR(VLOOKUP(A57,'Cadastro Geral Campistas'!$A:$R,4,0),"")</f>
        <v>M</v>
      </c>
    </row>
    <row r="58" spans="1:12" ht="18" customHeight="1" x14ac:dyDescent="0.55000000000000004">
      <c r="A58" s="57">
        <v>111</v>
      </c>
      <c r="B58" s="7" t="str">
        <f>IFERROR(VLOOKUP(A58,'Cadastro Geral Campistas'!$A:$R,2,0),"")</f>
        <v>Paulo Barbosa de Oliveira</v>
      </c>
      <c r="C58" s="6">
        <f>IFERROR(VLOOKUP(A58,'Cadastro Geral Campistas'!$A:$R,5,0),"")</f>
        <v>83</v>
      </c>
      <c r="D58" s="6">
        <f>IFERROR(VLOOKUP(A58,'Cadastro Geral Campistas'!$A:$R,6,0),"")</f>
        <v>1.72</v>
      </c>
      <c r="E58" s="6">
        <f>IFERROR(VLOOKUP(A58,'Cadastro Geral Campistas'!$A:$R,7,0),"")</f>
        <v>63</v>
      </c>
      <c r="F58" s="7" t="str">
        <f>IFERROR(VLOOKUP(A58,'Cadastro Geral Campistas'!$A:$R,9,0),"")</f>
        <v>Vianópolis</v>
      </c>
      <c r="G58" s="6" t="str">
        <f>IFERROR(VLOOKUP(A58,'Cadastro Geral Campistas'!$A:$R,3,0),"")</f>
        <v>M</v>
      </c>
      <c r="H58" s="7" t="str">
        <f>IFERROR(VLOOKUP(A58,'Cadastro Geral Campistas'!$A:$R,8,0),"")</f>
        <v>+55 (62) 99629-3597</v>
      </c>
      <c r="I58" s="101" t="str">
        <f>IF(AND(IFERROR(VLOOKUP(A58,'Cadastro Geral Campistas'!$A:$R,18,0),0)&gt;0,COUNTIF($A$44:$A$59,IFERROR(VLOOKUP(A58,'Cadastro Geral Campistas'!$A:$R,18,0),0))&gt;0),"⚠️ CONFLITO! Cônjuge na mesma tribo: "&amp;IFERROR(VLOOKUP(IFERROR(VLOOKUP(A58,'Cadastro Geral Campistas'!$A:$R,18,0),0),'Cadastro Geral Campistas'!$A:$R,2,""),""),TRIM(IF(AND(IFERROR(VLOOKUP(A58,'Cadastro Geral Campistas'!$A:$R,10,0),"")&lt;&gt;"",LOWER(TRIM(IFERROR(VLOOKUP(A58,'Cadastro Geral Campistas'!$A:$R,10,0),"")))&lt;&gt;"não",LOWER(TRIM(IFERROR(VLOOKUP(A58,'Cadastro Geral Campistas'!$A:$R,10,0),"")))&lt;&gt;"nao",LOWER(TRIM(IFERROR(VLOOKUP(A58,'Cadastro Geral Campistas'!$A:$R,10,0),"")))&lt;&gt;"0"),IFERROR(VLOOKUP(A58,'Cadastro Geral Campistas'!$A:$R,10,0),"")&amp;IF(AND(IFERROR(VLOOKUP(A58,'Cadastro Geral Campistas'!$A:$R,15,0),"")&lt;&gt;"",LOWER(TRIM(IFERROR(VLOOKUP(A58,'Cadastro Geral Campistas'!$A:$R,15,0),"")))&lt;&gt;"não",LOWER(TRIM(IFERROR(VLOOKUP(A58,'Cadastro Geral Campistas'!$A:$R,15,0),"")))&lt;&gt;"nao",LOWER(TRIM(IFERROR(VLOOKUP(A58,'Cadastro Geral Campistas'!$A:$R,15,0),"")))&lt;&gt;"0")," | Alergia: "&amp;IFERROR(VLOOKUP(A58,'Cadastro Geral Campistas'!$A:$R,15,0),""),""),IF(AND(IFERROR(VLOOKUP(A58,'Cadastro Geral Campistas'!$A:$R,15,0),"")&lt;&gt;"",LOWER(TRIM(IFERROR(VLOOKUP(A58,'Cadastro Geral Campistas'!$A:$R,15,0),"")))&lt;&gt;"não",LOWER(TRIM(IFERROR(VLOOKUP(A58,'Cadastro Geral Campistas'!$A:$R,15,0),"")))&lt;&gt;"nao",LOWER(TRIM(IFERROR(VLOOKUP(A58,'Cadastro Geral Campistas'!$A:$R,15,0),"")))&lt;&gt;"0"),"Alergia: "&amp;IFERROR(VLOOKUP(A58,'Cadastro Geral Campistas'!$A:$R,15,0),""),""))))</f>
        <v>Sim, Fernanda Gonçalves, Elisvania Maria, Nilson Oliveira, Matheus Romuldo</v>
      </c>
      <c r="J58" s="58" t="str">
        <f>IFERROR(VLOOKUP(A58,'Cadastro Geral Campistas'!$A:$R,4,0),"")</f>
        <v>M</v>
      </c>
    </row>
    <row r="59" spans="1:12" ht="18" customHeight="1" x14ac:dyDescent="0.55000000000000004">
      <c r="A59" s="65">
        <v>83</v>
      </c>
      <c r="B59" s="22" t="str">
        <f>IFERROR(VLOOKUP(A59,'Cadastro Geral Campistas'!$A:$R,2,0),"")</f>
        <v>luciano costa</v>
      </c>
      <c r="C59" s="23">
        <f>IFERROR(VLOOKUP(A59,'Cadastro Geral Campistas'!$A:$R,5,0),"")</f>
        <v>90</v>
      </c>
      <c r="D59" s="23">
        <f>IFERROR(VLOOKUP(A59,'Cadastro Geral Campistas'!$A:$R,6,0),"")</f>
        <v>1.8</v>
      </c>
      <c r="E59" s="23">
        <f>IFERROR(VLOOKUP(A59,'Cadastro Geral Campistas'!$A:$R,7,0),"")</f>
        <v>49</v>
      </c>
      <c r="F59" s="22" t="str">
        <f>IFERROR(VLOOKUP(A59,'Cadastro Geral Campistas'!$A:$R,9,0),"")</f>
        <v>goiania</v>
      </c>
      <c r="G59" s="23" t="str">
        <f>IFERROR(VLOOKUP(A59,'Cadastro Geral Campistas'!$A:$R,3,0),"")</f>
        <v>G</v>
      </c>
      <c r="H59" s="22" t="str">
        <f>IFERROR(VLOOKUP(A59,'Cadastro Geral Campistas'!$A:$R,8,0),"")</f>
        <v>+55 (62) 99407-9898</v>
      </c>
      <c r="I59" s="106" t="str">
        <f>IF(AND(IFERROR(VLOOKUP(A59,'Cadastro Geral Campistas'!$A:$R,18,0),0)&gt;0,COUNTIF($A$44:$A$59,IFERROR(VLOOKUP(A59,'Cadastro Geral Campistas'!$A:$R,18,0),0))&gt;0),"⚠️ CONFLITO! Cônjuge na mesma tribo: "&amp;IFERROR(VLOOKUP(IFERROR(VLOOKUP(A59,'Cadastro Geral Campistas'!$A:$R,18,0),0),'Cadastro Geral Campistas'!$A:$R,2,""),""),TRIM(IF(AND(IFERROR(VLOOKUP(A59,'Cadastro Geral Campistas'!$A:$R,10,0),"")&lt;&gt;"",LOWER(TRIM(IFERROR(VLOOKUP(A59,'Cadastro Geral Campistas'!$A:$R,10,0),"")))&lt;&gt;"não",LOWER(TRIM(IFERROR(VLOOKUP(A59,'Cadastro Geral Campistas'!$A:$R,10,0),"")))&lt;&gt;"nao",LOWER(TRIM(IFERROR(VLOOKUP(A59,'Cadastro Geral Campistas'!$A:$R,10,0),"")))&lt;&gt;"0"),IFERROR(VLOOKUP(A59,'Cadastro Geral Campistas'!$A:$R,10,0),"")&amp;IF(AND(IFERROR(VLOOKUP(A59,'Cadastro Geral Campistas'!$A:$R,15,0),"")&lt;&gt;"",LOWER(TRIM(IFERROR(VLOOKUP(A59,'Cadastro Geral Campistas'!$A:$R,15,0),"")))&lt;&gt;"não",LOWER(TRIM(IFERROR(VLOOKUP(A59,'Cadastro Geral Campistas'!$A:$R,15,0),"")))&lt;&gt;"nao",LOWER(TRIM(IFERROR(VLOOKUP(A59,'Cadastro Geral Campistas'!$A:$R,15,0),"")))&lt;&gt;"0")," | Alergia: "&amp;IFERROR(VLOOKUP(A59,'Cadastro Geral Campistas'!$A:$R,15,0),""),""),IF(AND(IFERROR(VLOOKUP(A59,'Cadastro Geral Campistas'!$A:$R,15,0),"")&lt;&gt;"",LOWER(TRIM(IFERROR(VLOOKUP(A59,'Cadastro Geral Campistas'!$A:$R,15,0),"")))&lt;&gt;"não",LOWER(TRIM(IFERROR(VLOOKUP(A59,'Cadastro Geral Campistas'!$A:$R,15,0),"")))&lt;&gt;"nao",LOWER(TRIM(IFERROR(VLOOKUP(A59,'Cadastro Geral Campistas'!$A:$R,15,0),"")))&lt;&gt;"0"),"Alergia: "&amp;IFERROR(VLOOKUP(A59,'Cadastro Geral Campistas'!$A:$R,15,0),""),""))))</f>
        <v/>
      </c>
      <c r="J59" s="66" t="str">
        <f>IFERROR(VLOOKUP(A59,'Cadastro Geral Campistas'!$A:$R,4,0),"")</f>
        <v>M</v>
      </c>
    </row>
    <row r="60" spans="1:12" x14ac:dyDescent="0.55000000000000004">
      <c r="A60" s="61" t="s">
        <v>17</v>
      </c>
      <c r="B60" s="20"/>
      <c r="C60" s="20">
        <f>IFERROR(ROUND(AVERAGE(C44:C59),1),"")</f>
        <v>74.900000000000006</v>
      </c>
      <c r="D60" s="20"/>
      <c r="E60" s="20">
        <f>IFERROR(ROUND(AVERAGE(E44:E59),1),"")</f>
        <v>40.1</v>
      </c>
      <c r="F60" s="117"/>
      <c r="G60" s="117"/>
      <c r="H60" s="117"/>
      <c r="I60" s="126" t="str">
        <f>COUNTIF(J44:J59,"F")&amp;"  F    |    "&amp;COUNTIF(J44:J59,"M")&amp;"  M"</f>
        <v>8  F    |    8  M</v>
      </c>
      <c r="J60" s="127"/>
    </row>
    <row r="61" spans="1:12" x14ac:dyDescent="0.55000000000000004">
      <c r="A61" s="118"/>
      <c r="B61" s="119"/>
      <c r="C61" s="119"/>
      <c r="D61" s="119"/>
      <c r="E61" s="119"/>
      <c r="F61" s="119"/>
      <c r="G61" s="119"/>
      <c r="H61" s="119"/>
      <c r="I61" s="140" t="s">
        <v>18</v>
      </c>
      <c r="J61" s="125"/>
      <c r="K61" s="121"/>
      <c r="L61" s="121"/>
    </row>
    <row r="62" spans="1:12" x14ac:dyDescent="0.55000000000000004">
      <c r="A62" s="120"/>
      <c r="B62" s="121"/>
      <c r="C62" s="121"/>
      <c r="D62" s="121"/>
      <c r="E62" s="121"/>
      <c r="F62" s="121"/>
      <c r="G62" s="121"/>
      <c r="H62" s="121"/>
      <c r="I62" s="124" t="s">
        <v>33</v>
      </c>
      <c r="J62" s="125"/>
      <c r="K62" s="121"/>
      <c r="L62" s="121"/>
    </row>
    <row r="63" spans="1:12" x14ac:dyDescent="0.55000000000000004">
      <c r="A63" s="120"/>
      <c r="B63" s="121"/>
      <c r="C63" s="121"/>
      <c r="D63" s="121"/>
      <c r="E63" s="121"/>
      <c r="F63" s="121"/>
      <c r="G63" s="121"/>
      <c r="H63" s="121"/>
      <c r="I63" s="124" t="s">
        <v>34</v>
      </c>
      <c r="J63" s="125"/>
      <c r="K63" s="121"/>
      <c r="L63" s="121"/>
    </row>
    <row r="64" spans="1:12" x14ac:dyDescent="0.55000000000000004">
      <c r="A64" s="120"/>
      <c r="B64" s="121"/>
      <c r="C64" s="121"/>
      <c r="D64" s="121"/>
      <c r="E64" s="121"/>
      <c r="F64" s="121"/>
      <c r="G64" s="121"/>
      <c r="H64" s="121"/>
      <c r="I64" s="124" t="s">
        <v>35</v>
      </c>
      <c r="J64" s="125"/>
      <c r="K64" s="121"/>
      <c r="L64" s="121"/>
    </row>
    <row r="65" spans="1:12" x14ac:dyDescent="0.55000000000000004">
      <c r="A65" s="120"/>
      <c r="B65" s="121"/>
      <c r="C65" s="121"/>
      <c r="D65" s="121"/>
      <c r="E65" s="121"/>
      <c r="F65" s="121"/>
      <c r="G65" s="121"/>
      <c r="H65" s="121"/>
      <c r="I65" s="124" t="s">
        <v>36</v>
      </c>
      <c r="J65" s="125"/>
      <c r="K65" s="121"/>
      <c r="L65" s="121"/>
    </row>
    <row r="66" spans="1:12" x14ac:dyDescent="0.55000000000000004">
      <c r="A66" s="120"/>
      <c r="B66" s="121"/>
      <c r="C66" s="121"/>
      <c r="D66" s="121"/>
      <c r="E66" s="121"/>
      <c r="F66" s="121"/>
      <c r="G66" s="121"/>
      <c r="H66" s="121"/>
      <c r="I66" s="124" t="s">
        <v>37</v>
      </c>
      <c r="J66" s="125"/>
      <c r="K66" s="121"/>
      <c r="L66" s="121"/>
    </row>
    <row r="67" spans="1:12" x14ac:dyDescent="0.55000000000000004">
      <c r="A67" s="120"/>
      <c r="B67" s="121"/>
      <c r="C67" s="121"/>
      <c r="D67" s="121"/>
      <c r="E67" s="121"/>
      <c r="F67" s="121"/>
      <c r="G67" s="121"/>
      <c r="H67" s="121"/>
      <c r="I67" s="124" t="s">
        <v>38</v>
      </c>
      <c r="J67" s="125"/>
      <c r="K67" s="121"/>
      <c r="L67" s="121"/>
    </row>
    <row r="68" spans="1:12" x14ac:dyDescent="0.55000000000000004">
      <c r="A68" s="120"/>
      <c r="B68" s="121"/>
      <c r="C68" s="121"/>
      <c r="D68" s="121"/>
      <c r="E68" s="121"/>
      <c r="F68" s="121"/>
      <c r="G68" s="121"/>
      <c r="H68" s="121"/>
      <c r="I68" s="124" t="s">
        <v>39</v>
      </c>
      <c r="J68" s="125"/>
      <c r="K68" s="121"/>
      <c r="L68" s="121"/>
    </row>
    <row r="69" spans="1:12" x14ac:dyDescent="0.55000000000000004">
      <c r="A69" s="120"/>
      <c r="B69" s="121"/>
      <c r="C69" s="121"/>
      <c r="D69" s="121"/>
      <c r="E69" s="121"/>
      <c r="F69" s="121"/>
      <c r="G69" s="121"/>
      <c r="H69" s="121"/>
      <c r="I69" s="124" t="s">
        <v>40</v>
      </c>
      <c r="J69" s="125"/>
      <c r="K69" s="121"/>
      <c r="L69" s="121"/>
    </row>
    <row r="70" spans="1:12" ht="14.7" customHeight="1" thickBot="1" x14ac:dyDescent="0.6">
      <c r="A70" s="122"/>
      <c r="B70" s="123"/>
      <c r="C70" s="123"/>
      <c r="D70" s="123"/>
      <c r="E70" s="123"/>
      <c r="F70" s="123"/>
      <c r="G70" s="123"/>
      <c r="H70" s="123"/>
      <c r="I70" s="62" t="s">
        <v>41</v>
      </c>
      <c r="J70" s="67"/>
      <c r="K70" s="121"/>
      <c r="L70" s="121"/>
    </row>
    <row r="71" spans="1:12" ht="28" customHeight="1" x14ac:dyDescent="0.55000000000000004">
      <c r="A71" s="166" t="s">
        <v>42</v>
      </c>
      <c r="B71" s="136"/>
      <c r="C71" s="136"/>
      <c r="D71" s="136"/>
      <c r="E71" s="143" t="s">
        <v>43</v>
      </c>
      <c r="F71" s="136"/>
      <c r="G71" s="136"/>
      <c r="H71" s="136"/>
      <c r="I71" s="136"/>
      <c r="J71" s="144"/>
    </row>
    <row r="72" spans="1:12" x14ac:dyDescent="0.55000000000000004">
      <c r="A72" s="149" t="s">
        <v>2</v>
      </c>
      <c r="B72" s="121"/>
      <c r="C72" s="121"/>
      <c r="D72" s="142"/>
      <c r="E72" s="121"/>
      <c r="F72" s="121"/>
      <c r="G72" s="140" t="s">
        <v>3</v>
      </c>
      <c r="H72" s="121"/>
      <c r="I72" s="121"/>
      <c r="J72" s="125"/>
    </row>
    <row r="73" spans="1:12" x14ac:dyDescent="0.55000000000000004">
      <c r="A73" s="120"/>
      <c r="B73" s="121"/>
      <c r="C73" s="121"/>
      <c r="D73" s="121"/>
      <c r="E73" s="121"/>
      <c r="F73" s="121"/>
      <c r="G73" s="121"/>
      <c r="H73" s="121"/>
      <c r="I73" s="121"/>
      <c r="J73" s="125"/>
    </row>
    <row r="74" spans="1:12" x14ac:dyDescent="0.55000000000000004">
      <c r="A74" s="120"/>
      <c r="B74" s="121"/>
      <c r="C74" s="121"/>
      <c r="D74" s="121"/>
      <c r="E74" s="121"/>
      <c r="F74" s="121"/>
      <c r="G74" s="121"/>
      <c r="H74" s="121"/>
      <c r="I74" s="121"/>
      <c r="J74" s="125"/>
    </row>
    <row r="75" spans="1:12" x14ac:dyDescent="0.55000000000000004">
      <c r="A75" s="154" t="s">
        <v>44</v>
      </c>
      <c r="B75" s="121"/>
      <c r="C75" s="121"/>
      <c r="D75" s="121"/>
      <c r="E75" s="121"/>
      <c r="F75" s="121"/>
      <c r="G75" s="155" t="s">
        <v>45</v>
      </c>
      <c r="H75" s="121"/>
      <c r="I75" s="121"/>
      <c r="J75" s="125"/>
    </row>
    <row r="76" spans="1:12" x14ac:dyDescent="0.55000000000000004">
      <c r="A76" s="154" t="s">
        <v>46</v>
      </c>
      <c r="B76" s="121"/>
      <c r="C76" s="121"/>
      <c r="D76" s="142"/>
      <c r="E76" s="121"/>
      <c r="F76" s="121"/>
      <c r="G76" s="121"/>
      <c r="H76" s="121"/>
      <c r="I76" s="121"/>
      <c r="J76" s="52"/>
    </row>
    <row r="77" spans="1:12" x14ac:dyDescent="0.55000000000000004">
      <c r="A77" s="162"/>
      <c r="B77" s="129"/>
      <c r="C77" s="129"/>
      <c r="D77" s="129"/>
      <c r="E77" s="129"/>
      <c r="F77" s="129"/>
      <c r="G77" s="129"/>
      <c r="H77" s="129"/>
      <c r="I77" s="129"/>
      <c r="J77" s="68"/>
    </row>
    <row r="78" spans="1:12" x14ac:dyDescent="0.55000000000000004">
      <c r="A78" s="69" t="s">
        <v>7</v>
      </c>
      <c r="B78" s="24" t="s">
        <v>8</v>
      </c>
      <c r="C78" s="24" t="s">
        <v>9</v>
      </c>
      <c r="D78" s="24" t="s">
        <v>10</v>
      </c>
      <c r="E78" s="24" t="s">
        <v>11</v>
      </c>
      <c r="F78" s="24" t="s">
        <v>12</v>
      </c>
      <c r="G78" s="24" t="s">
        <v>13</v>
      </c>
      <c r="H78" s="24" t="s">
        <v>14</v>
      </c>
      <c r="I78" s="24" t="s">
        <v>15</v>
      </c>
      <c r="J78" s="70" t="s">
        <v>16</v>
      </c>
    </row>
    <row r="79" spans="1:12" ht="18" customHeight="1" x14ac:dyDescent="0.55000000000000004">
      <c r="A79" s="55">
        <v>8</v>
      </c>
      <c r="B79" s="3" t="str">
        <f>IFERROR(VLOOKUP(A79,'Cadastro Geral Campistas'!$A:$R,2,0),"")</f>
        <v>Ana Luiza Gonçalves Bueno</v>
      </c>
      <c r="C79" s="2">
        <f>IFERROR(VLOOKUP(A79,'Cadastro Geral Campistas'!$A:$R,5,0),"")</f>
        <v>70</v>
      </c>
      <c r="D79" s="2">
        <f>IFERROR(VLOOKUP(A79,'Cadastro Geral Campistas'!$A:$R,6,0),"")</f>
        <v>1.64</v>
      </c>
      <c r="E79" s="2">
        <f>IFERROR(VLOOKUP(A79,'Cadastro Geral Campistas'!$A:$R,7,0),"")</f>
        <v>53</v>
      </c>
      <c r="F79" s="3" t="str">
        <f>IFERROR(VLOOKUP(A79,'Cadastro Geral Campistas'!$A:$R,9,0),"")</f>
        <v>Goiana</v>
      </c>
      <c r="G79" s="2" t="str">
        <f>IFERROR(VLOOKUP(A79,'Cadastro Geral Campistas'!$A:$R,3,0),"")</f>
        <v>G</v>
      </c>
      <c r="H79" s="3" t="str">
        <f>IFERROR(VLOOKUP(A79,'Cadastro Geral Campistas'!$A:$R,8,0),"")</f>
        <v>+55 (01) 56298-1816</v>
      </c>
      <c r="I79" s="103" t="str">
        <f>IF(AND(IFERROR(VLOOKUP(A79,'Cadastro Geral Campistas'!$A:$R,18,0),0)&gt;0,COUNTIF($A$79:$A$94,IFERROR(VLOOKUP(A79,'Cadastro Geral Campistas'!$A:$R,18,0),0))&gt;0),"⚠️ CONFLITO! Cônjuge na mesma tribo: "&amp;IFERROR(VLOOKUP(IFERROR(VLOOKUP(A79,'Cadastro Geral Campistas'!$A:$R,18,0),0),'Cadastro Geral Campistas'!$A:$R,2,""),""),TRIM(IF(AND(IFERROR(VLOOKUP(A79,'Cadastro Geral Campistas'!$A:$R,10,0),"")&lt;&gt;"",LOWER(TRIM(IFERROR(VLOOKUP(A79,'Cadastro Geral Campistas'!$A:$R,10,0),"")))&lt;&gt;"não",LOWER(TRIM(IFERROR(VLOOKUP(A79,'Cadastro Geral Campistas'!$A:$R,10,0),"")))&lt;&gt;"nao",LOWER(TRIM(IFERROR(VLOOKUP(A79,'Cadastro Geral Campistas'!$A:$R,10,0),"")))&lt;&gt;"0"),IFERROR(VLOOKUP(A79,'Cadastro Geral Campistas'!$A:$R,10,0),"")&amp;IF(AND(IFERROR(VLOOKUP(A79,'Cadastro Geral Campistas'!$A:$R,15,0),"")&lt;&gt;"",LOWER(TRIM(IFERROR(VLOOKUP(A79,'Cadastro Geral Campistas'!$A:$R,15,0),"")))&lt;&gt;"não",LOWER(TRIM(IFERROR(VLOOKUP(A79,'Cadastro Geral Campistas'!$A:$R,15,0),"")))&lt;&gt;"nao",LOWER(TRIM(IFERROR(VLOOKUP(A79,'Cadastro Geral Campistas'!$A:$R,15,0),"")))&lt;&gt;"0")," | Alergia: "&amp;IFERROR(VLOOKUP(A79,'Cadastro Geral Campistas'!$A:$R,15,0),""),""),IF(AND(IFERROR(VLOOKUP(A79,'Cadastro Geral Campistas'!$A:$R,15,0),"")&lt;&gt;"",LOWER(TRIM(IFERROR(VLOOKUP(A79,'Cadastro Geral Campistas'!$A:$R,15,0),"")))&lt;&gt;"não",LOWER(TRIM(IFERROR(VLOOKUP(A79,'Cadastro Geral Campistas'!$A:$R,15,0),"")))&lt;&gt;"nao",LOWER(TRIM(IFERROR(VLOOKUP(A79,'Cadastro Geral Campistas'!$A:$R,15,0),"")))&lt;&gt;"0"),"Alergia: "&amp;IFERROR(VLOOKUP(A79,'Cadastro Geral Campistas'!$A:$R,15,0),""),""))))</f>
        <v>Fabiano Pereira</v>
      </c>
      <c r="J79" s="56" t="str">
        <f>IFERROR(VLOOKUP(A79,'Cadastro Geral Campistas'!$A:$R,4,0),"")</f>
        <v>F</v>
      </c>
    </row>
    <row r="80" spans="1:12" ht="18" customHeight="1" x14ac:dyDescent="0.55000000000000004">
      <c r="A80" s="71">
        <v>10</v>
      </c>
      <c r="B80" s="25" t="str">
        <f>IFERROR(VLOOKUP(A80,'Cadastro Geral Campistas'!$A:$R,2,0),"")</f>
        <v>Anna Clara Silva Guimarães</v>
      </c>
      <c r="C80" s="26">
        <f>IFERROR(VLOOKUP(A80,'Cadastro Geral Campistas'!$A:$R,5,0),"")</f>
        <v>50</v>
      </c>
      <c r="D80" s="26">
        <f>IFERROR(VLOOKUP(A80,'Cadastro Geral Campistas'!$A:$R,6,0),"")</f>
        <v>1.5</v>
      </c>
      <c r="E80" s="26">
        <f>IFERROR(VLOOKUP(A80,'Cadastro Geral Campistas'!$A:$R,7,0),"")</f>
        <v>22</v>
      </c>
      <c r="F80" s="25" t="str">
        <f>IFERROR(VLOOKUP(A80,'Cadastro Geral Campistas'!$A:$R,9,0),"")</f>
        <v>Goiânia</v>
      </c>
      <c r="G80" s="26" t="str">
        <f>IFERROR(VLOOKUP(A80,'Cadastro Geral Campistas'!$A:$R,3,0),"")</f>
        <v>P</v>
      </c>
      <c r="H80" s="25" t="str">
        <f>IFERROR(VLOOKUP(A80,'Cadastro Geral Campistas'!$A:$R,8,0),"")</f>
        <v>+55 (62) 99325-0970</v>
      </c>
      <c r="I80" s="107" t="str">
        <f>IF(AND(IFERROR(VLOOKUP(A80,'Cadastro Geral Campistas'!$A:$R,18,0),0)&gt;0,COUNTIF($A$79:$A$94,IFERROR(VLOOKUP(A80,'Cadastro Geral Campistas'!$A:$R,18,0),0))&gt;0),"⚠️ CONFLITO! Cônjuge na mesma tribo: "&amp;IFERROR(VLOOKUP(IFERROR(VLOOKUP(A80,'Cadastro Geral Campistas'!$A:$R,18,0),0),'Cadastro Geral Campistas'!$A:$R,2,""),""),TRIM(IF(AND(IFERROR(VLOOKUP(A80,'Cadastro Geral Campistas'!$A:$R,10,0),"")&lt;&gt;"",LOWER(TRIM(IFERROR(VLOOKUP(A80,'Cadastro Geral Campistas'!$A:$R,10,0),"")))&lt;&gt;"não",LOWER(TRIM(IFERROR(VLOOKUP(A80,'Cadastro Geral Campistas'!$A:$R,10,0),"")))&lt;&gt;"nao",LOWER(TRIM(IFERROR(VLOOKUP(A80,'Cadastro Geral Campistas'!$A:$R,10,0),"")))&lt;&gt;"0"),IFERROR(VLOOKUP(A80,'Cadastro Geral Campistas'!$A:$R,10,0),"")&amp;IF(AND(IFERROR(VLOOKUP(A80,'Cadastro Geral Campistas'!$A:$R,15,0),"")&lt;&gt;"",LOWER(TRIM(IFERROR(VLOOKUP(A80,'Cadastro Geral Campistas'!$A:$R,15,0),"")))&lt;&gt;"não",LOWER(TRIM(IFERROR(VLOOKUP(A80,'Cadastro Geral Campistas'!$A:$R,15,0),"")))&lt;&gt;"nao",LOWER(TRIM(IFERROR(VLOOKUP(A80,'Cadastro Geral Campistas'!$A:$R,15,0),"")))&lt;&gt;"0")," | Alergia: "&amp;IFERROR(VLOOKUP(A80,'Cadastro Geral Campistas'!$A:$R,15,0),""),""),IF(AND(IFERROR(VLOOKUP(A80,'Cadastro Geral Campistas'!$A:$R,15,0),"")&lt;&gt;"",LOWER(TRIM(IFERROR(VLOOKUP(A80,'Cadastro Geral Campistas'!$A:$R,15,0),"")))&lt;&gt;"não",LOWER(TRIM(IFERROR(VLOOKUP(A80,'Cadastro Geral Campistas'!$A:$R,15,0),"")))&lt;&gt;"nao",LOWER(TRIM(IFERROR(VLOOKUP(A80,'Cadastro Geral Campistas'!$A:$R,15,0),"")))&lt;&gt;"0"),"Alergia: "&amp;IFERROR(VLOOKUP(A80,'Cadastro Geral Campistas'!$A:$R,15,0),""),""))))</f>
        <v>Luara Couto</v>
      </c>
      <c r="J80" s="72" t="str">
        <f>IFERROR(VLOOKUP(A80,'Cadastro Geral Campistas'!$A:$R,4,0),"")</f>
        <v>F</v>
      </c>
    </row>
    <row r="81" spans="1:10" ht="18" customHeight="1" x14ac:dyDescent="0.55000000000000004">
      <c r="A81" s="57">
        <v>15</v>
      </c>
      <c r="B81" s="7" t="str">
        <f>IFERROR(VLOOKUP(A81,'Cadastro Geral Campistas'!$A:$R,2,0),"")</f>
        <v>Bruna Tayssa Rockenbach Padilha</v>
      </c>
      <c r="C81" s="6">
        <f>IFERROR(VLOOKUP(A81,'Cadastro Geral Campistas'!$A:$R,5,0),"")</f>
        <v>80</v>
      </c>
      <c r="D81" s="6">
        <f>IFERROR(VLOOKUP(A81,'Cadastro Geral Campistas'!$A:$R,6,0),"")</f>
        <v>1.75</v>
      </c>
      <c r="E81" s="6">
        <f>IFERROR(VLOOKUP(A81,'Cadastro Geral Campistas'!$A:$R,7,0),"")</f>
        <v>33</v>
      </c>
      <c r="F81" s="7" t="str">
        <f>IFERROR(VLOOKUP(A81,'Cadastro Geral Campistas'!$A:$R,9,0),"")</f>
        <v>Canarana</v>
      </c>
      <c r="G81" s="6" t="str">
        <f>IFERROR(VLOOKUP(A81,'Cadastro Geral Campistas'!$A:$R,3,0),"")</f>
        <v>G</v>
      </c>
      <c r="H81" s="7" t="str">
        <f>IFERROR(VLOOKUP(A81,'Cadastro Geral Campistas'!$A:$R,8,0),"")</f>
        <v>+55 (66) 98446-8785</v>
      </c>
      <c r="I81" s="101" t="str">
        <f>IF(AND(IFERROR(VLOOKUP(A81,'Cadastro Geral Campistas'!$A:$R,18,0),0)&gt;0,COUNTIF($A$79:$A$94,IFERROR(VLOOKUP(A81,'Cadastro Geral Campistas'!$A:$R,18,0),0))&gt;0),"⚠️ CONFLITO! Cônjuge na mesma tribo: "&amp;IFERROR(VLOOKUP(IFERROR(VLOOKUP(A81,'Cadastro Geral Campistas'!$A:$R,18,0),0),'Cadastro Geral Campistas'!$A:$R,2,""),""),TRIM(IF(AND(IFERROR(VLOOKUP(A81,'Cadastro Geral Campistas'!$A:$R,10,0),"")&lt;&gt;"",LOWER(TRIM(IFERROR(VLOOKUP(A81,'Cadastro Geral Campistas'!$A:$R,10,0),"")))&lt;&gt;"não",LOWER(TRIM(IFERROR(VLOOKUP(A81,'Cadastro Geral Campistas'!$A:$R,10,0),"")))&lt;&gt;"nao",LOWER(TRIM(IFERROR(VLOOKUP(A81,'Cadastro Geral Campistas'!$A:$R,10,0),"")))&lt;&gt;"0"),IFERROR(VLOOKUP(A81,'Cadastro Geral Campistas'!$A:$R,10,0),"")&amp;IF(AND(IFERROR(VLOOKUP(A81,'Cadastro Geral Campistas'!$A:$R,15,0),"")&lt;&gt;"",LOWER(TRIM(IFERROR(VLOOKUP(A81,'Cadastro Geral Campistas'!$A:$R,15,0),"")))&lt;&gt;"não",LOWER(TRIM(IFERROR(VLOOKUP(A81,'Cadastro Geral Campistas'!$A:$R,15,0),"")))&lt;&gt;"nao",LOWER(TRIM(IFERROR(VLOOKUP(A81,'Cadastro Geral Campistas'!$A:$R,15,0),"")))&lt;&gt;"0")," | Alergia: "&amp;IFERROR(VLOOKUP(A81,'Cadastro Geral Campistas'!$A:$R,15,0),""),""),IF(AND(IFERROR(VLOOKUP(A81,'Cadastro Geral Campistas'!$A:$R,15,0),"")&lt;&gt;"",LOWER(TRIM(IFERROR(VLOOKUP(A81,'Cadastro Geral Campistas'!$A:$R,15,0),"")))&lt;&gt;"não",LOWER(TRIM(IFERROR(VLOOKUP(A81,'Cadastro Geral Campistas'!$A:$R,15,0),"")))&lt;&gt;"nao",LOWER(TRIM(IFERROR(VLOOKUP(A81,'Cadastro Geral Campistas'!$A:$R,15,0),"")))&lt;&gt;"0"),"Alergia: "&amp;IFERROR(VLOOKUP(A81,'Cadastro Geral Campistas'!$A:$R,15,0),""),""))))</f>
        <v>Sim meu esposo, Raul.</v>
      </c>
      <c r="J81" s="58" t="str">
        <f>IFERROR(VLOOKUP(A81,'Cadastro Geral Campistas'!$A:$R,4,0),"")</f>
        <v>F</v>
      </c>
    </row>
    <row r="82" spans="1:10" ht="18" customHeight="1" x14ac:dyDescent="0.55000000000000004">
      <c r="A82" s="71">
        <v>29</v>
      </c>
      <c r="B82" s="25" t="str">
        <f>IFERROR(VLOOKUP(A82,'Cadastro Geral Campistas'!$A:$R,2,0),"")</f>
        <v>CLEYTA FERREIRA DO COUTO</v>
      </c>
      <c r="C82" s="26">
        <f>IFERROR(VLOOKUP(A82,'Cadastro Geral Campistas'!$A:$R,5,0),"")</f>
        <v>120</v>
      </c>
      <c r="D82" s="26">
        <f>IFERROR(VLOOKUP(A82,'Cadastro Geral Campistas'!$A:$R,6,0),"")</f>
        <v>1.71</v>
      </c>
      <c r="E82" s="26">
        <f>IFERROR(VLOOKUP(A82,'Cadastro Geral Campistas'!$A:$R,7,0),"")</f>
        <v>44</v>
      </c>
      <c r="F82" s="25" t="str">
        <f>IFERROR(VLOOKUP(A82,'Cadastro Geral Campistas'!$A:$R,9,0),"")</f>
        <v>Goiânia</v>
      </c>
      <c r="G82" s="26" t="str">
        <f>IFERROR(VLOOKUP(A82,'Cadastro Geral Campistas'!$A:$R,3,0),"")</f>
        <v>G1</v>
      </c>
      <c r="H82" s="25" t="str">
        <f>IFERROR(VLOOKUP(A82,'Cadastro Geral Campistas'!$A:$R,8,0),"")</f>
        <v>+55 (62) 99808-5175</v>
      </c>
      <c r="I82" s="107" t="str">
        <f>IF(AND(IFERROR(VLOOKUP(A82,'Cadastro Geral Campistas'!$A:$R,18,0),0)&gt;0,COUNTIF($A$79:$A$94,IFERROR(VLOOKUP(A82,'Cadastro Geral Campistas'!$A:$R,18,0),0))&gt;0),"⚠️ CONFLITO! Cônjuge na mesma tribo: "&amp;IFERROR(VLOOKUP(IFERROR(VLOOKUP(A82,'Cadastro Geral Campistas'!$A:$R,18,0),0),'Cadastro Geral Campistas'!$A:$R,2,""),""),TRIM(IF(AND(IFERROR(VLOOKUP(A82,'Cadastro Geral Campistas'!$A:$R,10,0),"")&lt;&gt;"",LOWER(TRIM(IFERROR(VLOOKUP(A82,'Cadastro Geral Campistas'!$A:$R,10,0),"")))&lt;&gt;"não",LOWER(TRIM(IFERROR(VLOOKUP(A82,'Cadastro Geral Campistas'!$A:$R,10,0),"")))&lt;&gt;"nao",LOWER(TRIM(IFERROR(VLOOKUP(A82,'Cadastro Geral Campistas'!$A:$R,10,0),"")))&lt;&gt;"0"),IFERROR(VLOOKUP(A82,'Cadastro Geral Campistas'!$A:$R,10,0),"")&amp;IF(AND(IFERROR(VLOOKUP(A82,'Cadastro Geral Campistas'!$A:$R,15,0),"")&lt;&gt;"",LOWER(TRIM(IFERROR(VLOOKUP(A82,'Cadastro Geral Campistas'!$A:$R,15,0),"")))&lt;&gt;"não",LOWER(TRIM(IFERROR(VLOOKUP(A82,'Cadastro Geral Campistas'!$A:$R,15,0),"")))&lt;&gt;"nao",LOWER(TRIM(IFERROR(VLOOKUP(A82,'Cadastro Geral Campistas'!$A:$R,15,0),"")))&lt;&gt;"0")," | Alergia: "&amp;IFERROR(VLOOKUP(A82,'Cadastro Geral Campistas'!$A:$R,15,0),""),""),IF(AND(IFERROR(VLOOKUP(A82,'Cadastro Geral Campistas'!$A:$R,15,0),"")&lt;&gt;"",LOWER(TRIM(IFERROR(VLOOKUP(A82,'Cadastro Geral Campistas'!$A:$R,15,0),"")))&lt;&gt;"não",LOWER(TRIM(IFERROR(VLOOKUP(A82,'Cadastro Geral Campistas'!$A:$R,15,0),"")))&lt;&gt;"nao",LOWER(TRIM(IFERROR(VLOOKUP(A82,'Cadastro Geral Campistas'!$A:$R,15,0),"")))&lt;&gt;"0"),"Alergia: "&amp;IFERROR(VLOOKUP(A82,'Cadastro Geral Campistas'!$A:$R,15,0),""),""))))</f>
        <v>Alergia: camarão, amendoin, coco, pelo de cachorro.</v>
      </c>
      <c r="J82" s="72" t="str">
        <f>IFERROR(VLOOKUP(A82,'Cadastro Geral Campistas'!$A:$R,4,0),"")</f>
        <v>F</v>
      </c>
    </row>
    <row r="83" spans="1:10" ht="18" customHeight="1" x14ac:dyDescent="0.55000000000000004">
      <c r="A83" s="57">
        <v>39</v>
      </c>
      <c r="B83" s="7" t="str">
        <f>IFERROR(VLOOKUP(A83,'Cadastro Geral Campistas'!$A:$R,2,0),"")</f>
        <v>Elisvania Maria de Oliveira Silva</v>
      </c>
      <c r="C83" s="6">
        <f>IFERROR(VLOOKUP(A83,'Cadastro Geral Campistas'!$A:$R,5,0),"")</f>
        <v>78</v>
      </c>
      <c r="D83" s="6">
        <f>IFERROR(VLOOKUP(A83,'Cadastro Geral Campistas'!$A:$R,6,0),"")</f>
        <v>0</v>
      </c>
      <c r="E83" s="6">
        <f>IFERROR(VLOOKUP(A83,'Cadastro Geral Campistas'!$A:$R,7,0),"")</f>
        <v>49</v>
      </c>
      <c r="F83" s="7" t="str">
        <f>IFERROR(VLOOKUP(A83,'Cadastro Geral Campistas'!$A:$R,9,0),"")</f>
        <v>Vianopolis</v>
      </c>
      <c r="G83" s="6" t="str">
        <f>IFERROR(VLOOKUP(A83,'Cadastro Geral Campistas'!$A:$R,3,0),"")</f>
        <v>G</v>
      </c>
      <c r="H83" s="7" t="str">
        <f>IFERROR(VLOOKUP(A83,'Cadastro Geral Campistas'!$A:$R,8,0),"")</f>
        <v>+55 (62) 99937-9138</v>
      </c>
      <c r="I83" s="101" t="str">
        <f>IF(AND(IFERROR(VLOOKUP(A83,'Cadastro Geral Campistas'!$A:$R,18,0),0)&gt;0,COUNTIF($A$79:$A$94,IFERROR(VLOOKUP(A83,'Cadastro Geral Campistas'!$A:$R,18,0),0))&gt;0),"⚠️ CONFLITO! Cônjuge na mesma tribo: "&amp;IFERROR(VLOOKUP(IFERROR(VLOOKUP(A83,'Cadastro Geral Campistas'!$A:$R,18,0),0),'Cadastro Geral Campistas'!$A:$R,2,""),""),TRIM(IF(AND(IFERROR(VLOOKUP(A83,'Cadastro Geral Campistas'!$A:$R,10,0),"")&lt;&gt;"",LOWER(TRIM(IFERROR(VLOOKUP(A83,'Cadastro Geral Campistas'!$A:$R,10,0),"")))&lt;&gt;"não",LOWER(TRIM(IFERROR(VLOOKUP(A83,'Cadastro Geral Campistas'!$A:$R,10,0),"")))&lt;&gt;"nao",LOWER(TRIM(IFERROR(VLOOKUP(A83,'Cadastro Geral Campistas'!$A:$R,10,0),"")))&lt;&gt;"0"),IFERROR(VLOOKUP(A83,'Cadastro Geral Campistas'!$A:$R,10,0),"")&amp;IF(AND(IFERROR(VLOOKUP(A83,'Cadastro Geral Campistas'!$A:$R,15,0),"")&lt;&gt;"",LOWER(TRIM(IFERROR(VLOOKUP(A83,'Cadastro Geral Campistas'!$A:$R,15,0),"")))&lt;&gt;"não",LOWER(TRIM(IFERROR(VLOOKUP(A83,'Cadastro Geral Campistas'!$A:$R,15,0),"")))&lt;&gt;"nao",LOWER(TRIM(IFERROR(VLOOKUP(A83,'Cadastro Geral Campistas'!$A:$R,15,0),"")))&lt;&gt;"0")," | Alergia: "&amp;IFERROR(VLOOKUP(A83,'Cadastro Geral Campistas'!$A:$R,15,0),""),""),IF(AND(IFERROR(VLOOKUP(A83,'Cadastro Geral Campistas'!$A:$R,15,0),"")&lt;&gt;"",LOWER(TRIM(IFERROR(VLOOKUP(A83,'Cadastro Geral Campistas'!$A:$R,15,0),"")))&lt;&gt;"não",LOWER(TRIM(IFERROR(VLOOKUP(A83,'Cadastro Geral Campistas'!$A:$R,15,0),"")))&lt;&gt;"nao",LOWER(TRIM(IFERROR(VLOOKUP(A83,'Cadastro Geral Campistas'!$A:$R,15,0),"")))&lt;&gt;"0"),"Alergia: "&amp;IFERROR(VLOOKUP(A83,'Cadastro Geral Campistas'!$A:$R,15,0),""),""))))</f>
        <v>Não!</v>
      </c>
      <c r="J83" s="58" t="str">
        <f>IFERROR(VLOOKUP(A83,'Cadastro Geral Campistas'!$A:$R,4,0),"")</f>
        <v>F</v>
      </c>
    </row>
    <row r="84" spans="1:10" ht="18" customHeight="1" x14ac:dyDescent="0.55000000000000004">
      <c r="A84" s="71">
        <v>59</v>
      </c>
      <c r="B84" s="25" t="str">
        <f>IFERROR(VLOOKUP(A84,'Cadastro Geral Campistas'!$A:$R,2,0),"")</f>
        <v>Jakelynne Soares Pinheiro</v>
      </c>
      <c r="C84" s="26">
        <f>IFERROR(VLOOKUP(A84,'Cadastro Geral Campistas'!$A:$R,5,0),"")</f>
        <v>60</v>
      </c>
      <c r="D84" s="26">
        <f>IFERROR(VLOOKUP(A84,'Cadastro Geral Campistas'!$A:$R,6,0),"")</f>
        <v>1.61</v>
      </c>
      <c r="E84" s="26">
        <f>IFERROR(VLOOKUP(A84,'Cadastro Geral Campistas'!$A:$R,7,0),"")</f>
        <v>35</v>
      </c>
      <c r="F84" s="25" t="str">
        <f>IFERROR(VLOOKUP(A84,'Cadastro Geral Campistas'!$A:$R,9,0),"")</f>
        <v>Goiânia</v>
      </c>
      <c r="G84" s="26" t="str">
        <f>IFERROR(VLOOKUP(A84,'Cadastro Geral Campistas'!$A:$R,3,0),"")</f>
        <v>P</v>
      </c>
      <c r="H84" s="25" t="str">
        <f>IFERROR(VLOOKUP(A84,'Cadastro Geral Campistas'!$A:$R,8,0),"")</f>
        <v>+55 (62) 99245-1368</v>
      </c>
      <c r="I84" s="107" t="str">
        <f>IF(AND(IFERROR(VLOOKUP(A84,'Cadastro Geral Campistas'!$A:$R,18,0),0)&gt;0,COUNTIF($A$79:$A$94,IFERROR(VLOOKUP(A84,'Cadastro Geral Campistas'!$A:$R,18,0),0))&gt;0),"⚠️ CONFLITO! Cônjuge na mesma tribo: "&amp;IFERROR(VLOOKUP(IFERROR(VLOOKUP(A84,'Cadastro Geral Campistas'!$A:$R,18,0),0),'Cadastro Geral Campistas'!$A:$R,2,""),""),TRIM(IF(AND(IFERROR(VLOOKUP(A84,'Cadastro Geral Campistas'!$A:$R,10,0),"")&lt;&gt;"",LOWER(TRIM(IFERROR(VLOOKUP(A84,'Cadastro Geral Campistas'!$A:$R,10,0),"")))&lt;&gt;"não",LOWER(TRIM(IFERROR(VLOOKUP(A84,'Cadastro Geral Campistas'!$A:$R,10,0),"")))&lt;&gt;"nao",LOWER(TRIM(IFERROR(VLOOKUP(A84,'Cadastro Geral Campistas'!$A:$R,10,0),"")))&lt;&gt;"0"),IFERROR(VLOOKUP(A84,'Cadastro Geral Campistas'!$A:$R,10,0),"")&amp;IF(AND(IFERROR(VLOOKUP(A84,'Cadastro Geral Campistas'!$A:$R,15,0),"")&lt;&gt;"",LOWER(TRIM(IFERROR(VLOOKUP(A84,'Cadastro Geral Campistas'!$A:$R,15,0),"")))&lt;&gt;"não",LOWER(TRIM(IFERROR(VLOOKUP(A84,'Cadastro Geral Campistas'!$A:$R,15,0),"")))&lt;&gt;"nao",LOWER(TRIM(IFERROR(VLOOKUP(A84,'Cadastro Geral Campistas'!$A:$R,15,0),"")))&lt;&gt;"0")," | Alergia: "&amp;IFERROR(VLOOKUP(A84,'Cadastro Geral Campistas'!$A:$R,15,0),""),""),IF(AND(IFERROR(VLOOKUP(A84,'Cadastro Geral Campistas'!$A:$R,15,0),"")&lt;&gt;"",LOWER(TRIM(IFERROR(VLOOKUP(A84,'Cadastro Geral Campistas'!$A:$R,15,0),"")))&lt;&gt;"não",LOWER(TRIM(IFERROR(VLOOKUP(A84,'Cadastro Geral Campistas'!$A:$R,15,0),"")))&lt;&gt;"nao",LOWER(TRIM(IFERROR(VLOOKUP(A84,'Cadastro Geral Campistas'!$A:$R,15,0),"")))&lt;&gt;"0"),"Alergia: "&amp;IFERROR(VLOOKUP(A84,'Cadastro Geral Campistas'!$A:$R,15,0),""),""))))</f>
        <v/>
      </c>
      <c r="J84" s="72" t="str">
        <f>IFERROR(VLOOKUP(A84,'Cadastro Geral Campistas'!$A:$R,4,0),"")</f>
        <v>F</v>
      </c>
    </row>
    <row r="85" spans="1:10" ht="18" customHeight="1" x14ac:dyDescent="0.55000000000000004">
      <c r="A85" s="57">
        <v>74</v>
      </c>
      <c r="B85" s="7" t="str">
        <f>IFERROR(VLOOKUP(A85,'Cadastro Geral Campistas'!$A:$R,2,0),"")</f>
        <v>Larissa Laisa dos Santos</v>
      </c>
      <c r="C85" s="6">
        <f>IFERROR(VLOOKUP(A85,'Cadastro Geral Campistas'!$A:$R,5,0),"")</f>
        <v>69</v>
      </c>
      <c r="D85" s="6">
        <f>IFERROR(VLOOKUP(A85,'Cadastro Geral Campistas'!$A:$R,6,0),"")</f>
        <v>1.63</v>
      </c>
      <c r="E85" s="6">
        <f>IFERROR(VLOOKUP(A85,'Cadastro Geral Campistas'!$A:$R,7,0),"")</f>
        <v>39</v>
      </c>
      <c r="F85" s="7" t="str">
        <f>IFERROR(VLOOKUP(A85,'Cadastro Geral Campistas'!$A:$R,9,0),"")</f>
        <v>Goiânia</v>
      </c>
      <c r="G85" s="6" t="str">
        <f>IFERROR(VLOOKUP(A85,'Cadastro Geral Campistas'!$A:$R,3,0),"")</f>
        <v>G</v>
      </c>
      <c r="H85" s="7" t="str">
        <f>IFERROR(VLOOKUP(A85,'Cadastro Geral Campistas'!$A:$R,8,0),"")</f>
        <v>+55 (62) 99158-1441</v>
      </c>
      <c r="I85" s="101" t="str">
        <f>IF(AND(IFERROR(VLOOKUP(A85,'Cadastro Geral Campistas'!$A:$R,18,0),0)&gt;0,COUNTIF($A$79:$A$94,IFERROR(VLOOKUP(A85,'Cadastro Geral Campistas'!$A:$R,18,0),0))&gt;0),"⚠️ CONFLITO! Cônjuge na mesma tribo: "&amp;IFERROR(VLOOKUP(IFERROR(VLOOKUP(A85,'Cadastro Geral Campistas'!$A:$R,18,0),0),'Cadastro Geral Campistas'!$A:$R,2,""),""),TRIM(IF(AND(IFERROR(VLOOKUP(A85,'Cadastro Geral Campistas'!$A:$R,10,0),"")&lt;&gt;"",LOWER(TRIM(IFERROR(VLOOKUP(A85,'Cadastro Geral Campistas'!$A:$R,10,0),"")))&lt;&gt;"não",LOWER(TRIM(IFERROR(VLOOKUP(A85,'Cadastro Geral Campistas'!$A:$R,10,0),"")))&lt;&gt;"nao",LOWER(TRIM(IFERROR(VLOOKUP(A85,'Cadastro Geral Campistas'!$A:$R,10,0),"")))&lt;&gt;"0"),IFERROR(VLOOKUP(A85,'Cadastro Geral Campistas'!$A:$R,10,0),"")&amp;IF(AND(IFERROR(VLOOKUP(A85,'Cadastro Geral Campistas'!$A:$R,15,0),"")&lt;&gt;"",LOWER(TRIM(IFERROR(VLOOKUP(A85,'Cadastro Geral Campistas'!$A:$R,15,0),"")))&lt;&gt;"não",LOWER(TRIM(IFERROR(VLOOKUP(A85,'Cadastro Geral Campistas'!$A:$R,15,0),"")))&lt;&gt;"nao",LOWER(TRIM(IFERROR(VLOOKUP(A85,'Cadastro Geral Campistas'!$A:$R,15,0),"")))&lt;&gt;"0")," | Alergia: "&amp;IFERROR(VLOOKUP(A85,'Cadastro Geral Campistas'!$A:$R,15,0),""),""),IF(AND(IFERROR(VLOOKUP(A85,'Cadastro Geral Campistas'!$A:$R,15,0),"")&lt;&gt;"",LOWER(TRIM(IFERROR(VLOOKUP(A85,'Cadastro Geral Campistas'!$A:$R,15,0),"")))&lt;&gt;"não",LOWER(TRIM(IFERROR(VLOOKUP(A85,'Cadastro Geral Campistas'!$A:$R,15,0),"")))&lt;&gt;"nao",LOWER(TRIM(IFERROR(VLOOKUP(A85,'Cadastro Geral Campistas'!$A:$R,15,0),"")))&lt;&gt;"0"),"Alergia: "&amp;IFERROR(VLOOKUP(A85,'Cadastro Geral Campistas'!$A:$R,15,0),""),""))))</f>
        <v/>
      </c>
      <c r="J85" s="58" t="str">
        <f>IFERROR(VLOOKUP(A85,'Cadastro Geral Campistas'!$A:$R,4,0),"")</f>
        <v>F</v>
      </c>
    </row>
    <row r="86" spans="1:10" ht="18" customHeight="1" x14ac:dyDescent="0.55000000000000004">
      <c r="A86" s="71">
        <v>117</v>
      </c>
      <c r="B86" s="25" t="str">
        <f>IFERROR(VLOOKUP(A86,'Cadastro Geral Campistas'!$A:$R,2,0),"")</f>
        <v>Polianna Vieira Castro</v>
      </c>
      <c r="C86" s="26">
        <f>IFERROR(VLOOKUP(A86,'Cadastro Geral Campistas'!$A:$R,5,0),"")</f>
        <v>53</v>
      </c>
      <c r="D86" s="26">
        <f>IFERROR(VLOOKUP(A86,'Cadastro Geral Campistas'!$A:$R,6,0),"")</f>
        <v>1.6</v>
      </c>
      <c r="E86" s="26">
        <f>IFERROR(VLOOKUP(A86,'Cadastro Geral Campistas'!$A:$R,7,0),"")</f>
        <v>41</v>
      </c>
      <c r="F86" s="25" t="str">
        <f>IFERROR(VLOOKUP(A86,'Cadastro Geral Campistas'!$A:$R,9,0),"")</f>
        <v>Goiânia</v>
      </c>
      <c r="G86" s="26" t="str">
        <f>IFERROR(VLOOKUP(A86,'Cadastro Geral Campistas'!$A:$R,3,0),"")</f>
        <v>P</v>
      </c>
      <c r="H86" s="25" t="str">
        <f>IFERROR(VLOOKUP(A86,'Cadastro Geral Campistas'!$A:$R,8,0),"")</f>
        <v>+55 (62) 99933-4654</v>
      </c>
      <c r="I86" s="107" t="str">
        <f>IF(AND(IFERROR(VLOOKUP(A86,'Cadastro Geral Campistas'!$A:$R,18,0),0)&gt;0,COUNTIF($A$79:$A$94,IFERROR(VLOOKUP(A86,'Cadastro Geral Campistas'!$A:$R,18,0),0))&gt;0),"⚠️ CONFLITO! Cônjuge na mesma tribo: "&amp;IFERROR(VLOOKUP(IFERROR(VLOOKUP(A86,'Cadastro Geral Campistas'!$A:$R,18,0),0),'Cadastro Geral Campistas'!$A:$R,2,""),""),TRIM(IF(AND(IFERROR(VLOOKUP(A86,'Cadastro Geral Campistas'!$A:$R,10,0),"")&lt;&gt;"",LOWER(TRIM(IFERROR(VLOOKUP(A86,'Cadastro Geral Campistas'!$A:$R,10,0),"")))&lt;&gt;"não",LOWER(TRIM(IFERROR(VLOOKUP(A86,'Cadastro Geral Campistas'!$A:$R,10,0),"")))&lt;&gt;"nao",LOWER(TRIM(IFERROR(VLOOKUP(A86,'Cadastro Geral Campistas'!$A:$R,10,0),"")))&lt;&gt;"0"),IFERROR(VLOOKUP(A86,'Cadastro Geral Campistas'!$A:$R,10,0),"")&amp;IF(AND(IFERROR(VLOOKUP(A86,'Cadastro Geral Campistas'!$A:$R,15,0),"")&lt;&gt;"",LOWER(TRIM(IFERROR(VLOOKUP(A86,'Cadastro Geral Campistas'!$A:$R,15,0),"")))&lt;&gt;"não",LOWER(TRIM(IFERROR(VLOOKUP(A86,'Cadastro Geral Campistas'!$A:$R,15,0),"")))&lt;&gt;"nao",LOWER(TRIM(IFERROR(VLOOKUP(A86,'Cadastro Geral Campistas'!$A:$R,15,0),"")))&lt;&gt;"0")," | Alergia: "&amp;IFERROR(VLOOKUP(A86,'Cadastro Geral Campistas'!$A:$R,15,0),""),""),IF(AND(IFERROR(VLOOKUP(A86,'Cadastro Geral Campistas'!$A:$R,15,0),"")&lt;&gt;"",LOWER(TRIM(IFERROR(VLOOKUP(A86,'Cadastro Geral Campistas'!$A:$R,15,0),"")))&lt;&gt;"não",LOWER(TRIM(IFERROR(VLOOKUP(A86,'Cadastro Geral Campistas'!$A:$R,15,0),"")))&lt;&gt;"nao",LOWER(TRIM(IFERROR(VLOOKUP(A86,'Cadastro Geral Campistas'!$A:$R,15,0),"")))&lt;&gt;"0"),"Alergia: "&amp;IFERROR(VLOOKUP(A86,'Cadastro Geral Campistas'!$A:$R,15,0),""),""))))</f>
        <v>Cleonis Castro | Alergia: Dipirona 1g/ mosquito</v>
      </c>
      <c r="J86" s="72" t="str">
        <f>IFERROR(VLOOKUP(A86,'Cadastro Geral Campistas'!$A:$R,4,0),"")</f>
        <v>F</v>
      </c>
    </row>
    <row r="87" spans="1:10" ht="18" customHeight="1" x14ac:dyDescent="0.55000000000000004">
      <c r="A87" s="57">
        <v>5</v>
      </c>
      <c r="B87" s="7" t="str">
        <f>IFERROR(VLOOKUP(A87,'Cadastro Geral Campistas'!$A:$R,2,0),"")</f>
        <v>Amarildo Ferreira</v>
      </c>
      <c r="C87" s="6">
        <f>IFERROR(VLOOKUP(A87,'Cadastro Geral Campistas'!$A:$R,5,0),"")</f>
        <v>85</v>
      </c>
      <c r="D87" s="6">
        <f>IFERROR(VLOOKUP(A87,'Cadastro Geral Campistas'!$A:$R,6,0),"")</f>
        <v>1.72</v>
      </c>
      <c r="E87" s="6">
        <f>IFERROR(VLOOKUP(A87,'Cadastro Geral Campistas'!$A:$R,7,0),"")</f>
        <v>36</v>
      </c>
      <c r="F87" s="7" t="str">
        <f>IFERROR(VLOOKUP(A87,'Cadastro Geral Campistas'!$A:$R,9,0),"")</f>
        <v>Goiânia</v>
      </c>
      <c r="G87" s="6" t="str">
        <f>IFERROR(VLOOKUP(A87,'Cadastro Geral Campistas'!$A:$R,3,0),"")</f>
        <v>G</v>
      </c>
      <c r="H87" s="7" t="str">
        <f>IFERROR(VLOOKUP(A87,'Cadastro Geral Campistas'!$A:$R,8,0),"")</f>
        <v>+55 (61) 99571-6653</v>
      </c>
      <c r="I87" s="101" t="str">
        <f>IF(AND(IFERROR(VLOOKUP(A87,'Cadastro Geral Campistas'!$A:$R,18,0),0)&gt;0,COUNTIF($A$79:$A$94,IFERROR(VLOOKUP(A87,'Cadastro Geral Campistas'!$A:$R,18,0),0))&gt;0),"⚠️ CONFLITO! Cônjuge na mesma tribo: "&amp;IFERROR(VLOOKUP(IFERROR(VLOOKUP(A87,'Cadastro Geral Campistas'!$A:$R,18,0),0),'Cadastro Geral Campistas'!$A:$R,2,""),""),TRIM(IF(AND(IFERROR(VLOOKUP(A87,'Cadastro Geral Campistas'!$A:$R,10,0),"")&lt;&gt;"",LOWER(TRIM(IFERROR(VLOOKUP(A87,'Cadastro Geral Campistas'!$A:$R,10,0),"")))&lt;&gt;"não",LOWER(TRIM(IFERROR(VLOOKUP(A87,'Cadastro Geral Campistas'!$A:$R,10,0),"")))&lt;&gt;"nao",LOWER(TRIM(IFERROR(VLOOKUP(A87,'Cadastro Geral Campistas'!$A:$R,10,0),"")))&lt;&gt;"0"),IFERROR(VLOOKUP(A87,'Cadastro Geral Campistas'!$A:$R,10,0),"")&amp;IF(AND(IFERROR(VLOOKUP(A87,'Cadastro Geral Campistas'!$A:$R,15,0),"")&lt;&gt;"",LOWER(TRIM(IFERROR(VLOOKUP(A87,'Cadastro Geral Campistas'!$A:$R,15,0),"")))&lt;&gt;"não",LOWER(TRIM(IFERROR(VLOOKUP(A87,'Cadastro Geral Campistas'!$A:$R,15,0),"")))&lt;&gt;"nao",LOWER(TRIM(IFERROR(VLOOKUP(A87,'Cadastro Geral Campistas'!$A:$R,15,0),"")))&lt;&gt;"0")," | Alergia: "&amp;IFERROR(VLOOKUP(A87,'Cadastro Geral Campistas'!$A:$R,15,0),""),""),IF(AND(IFERROR(VLOOKUP(A87,'Cadastro Geral Campistas'!$A:$R,15,0),"")&lt;&gt;"",LOWER(TRIM(IFERROR(VLOOKUP(A87,'Cadastro Geral Campistas'!$A:$R,15,0),"")))&lt;&gt;"não",LOWER(TRIM(IFERROR(VLOOKUP(A87,'Cadastro Geral Campistas'!$A:$R,15,0),"")))&lt;&gt;"nao",LOWER(TRIM(IFERROR(VLOOKUP(A87,'Cadastro Geral Campistas'!$A:$R,15,0),"")))&lt;&gt;"0"),"Alergia: "&amp;IFERROR(VLOOKUP(A87,'Cadastro Geral Campistas'!$A:$R,15,0),""),""))))</f>
        <v>Alexandre</v>
      </c>
      <c r="J87" s="58" t="str">
        <f>IFERROR(VLOOKUP(A87,'Cadastro Geral Campistas'!$A:$R,4,0),"")</f>
        <v>M</v>
      </c>
    </row>
    <row r="88" spans="1:10" ht="18" customHeight="1" x14ac:dyDescent="0.55000000000000004">
      <c r="A88" s="71">
        <v>11</v>
      </c>
      <c r="B88" s="25" t="str">
        <f>IFERROR(VLOOKUP(A88,'Cadastro Geral Campistas'!$A:$R,2,0),"")</f>
        <v>Antônio Francisco de Oliveira</v>
      </c>
      <c r="C88" s="26">
        <f>IFERROR(VLOOKUP(A88,'Cadastro Geral Campistas'!$A:$R,5,0),"")</f>
        <v>86</v>
      </c>
      <c r="D88" s="26">
        <f>IFERROR(VLOOKUP(A88,'Cadastro Geral Campistas'!$A:$R,6,0),"")</f>
        <v>1.78</v>
      </c>
      <c r="E88" s="26">
        <f>IFERROR(VLOOKUP(A88,'Cadastro Geral Campistas'!$A:$R,7,0),"")</f>
        <v>52</v>
      </c>
      <c r="F88" s="25" t="str">
        <f>IFERROR(VLOOKUP(A88,'Cadastro Geral Campistas'!$A:$R,9,0),"")</f>
        <v>Goiânia</v>
      </c>
      <c r="G88" s="26" t="str">
        <f>IFERROR(VLOOKUP(A88,'Cadastro Geral Campistas'!$A:$R,3,0),"")</f>
        <v>G</v>
      </c>
      <c r="H88" s="25" t="str">
        <f>IFERROR(VLOOKUP(A88,'Cadastro Geral Campistas'!$A:$R,8,0),"")</f>
        <v>+55 (62) 98561-2097</v>
      </c>
      <c r="I88" s="107" t="str">
        <f>IF(AND(IFERROR(VLOOKUP(A88,'Cadastro Geral Campistas'!$A:$R,18,0),0)&gt;0,COUNTIF($A$79:$A$94,IFERROR(VLOOKUP(A88,'Cadastro Geral Campistas'!$A:$R,18,0),0))&gt;0),"⚠️ CONFLITO! Cônjuge na mesma tribo: "&amp;IFERROR(VLOOKUP(IFERROR(VLOOKUP(A88,'Cadastro Geral Campistas'!$A:$R,18,0),0),'Cadastro Geral Campistas'!$A:$R,2,""),""),TRIM(IF(AND(IFERROR(VLOOKUP(A88,'Cadastro Geral Campistas'!$A:$R,10,0),"")&lt;&gt;"",LOWER(TRIM(IFERROR(VLOOKUP(A88,'Cadastro Geral Campistas'!$A:$R,10,0),"")))&lt;&gt;"não",LOWER(TRIM(IFERROR(VLOOKUP(A88,'Cadastro Geral Campistas'!$A:$R,10,0),"")))&lt;&gt;"nao",LOWER(TRIM(IFERROR(VLOOKUP(A88,'Cadastro Geral Campistas'!$A:$R,10,0),"")))&lt;&gt;"0"),IFERROR(VLOOKUP(A88,'Cadastro Geral Campistas'!$A:$R,10,0),"")&amp;IF(AND(IFERROR(VLOOKUP(A88,'Cadastro Geral Campistas'!$A:$R,15,0),"")&lt;&gt;"",LOWER(TRIM(IFERROR(VLOOKUP(A88,'Cadastro Geral Campistas'!$A:$R,15,0),"")))&lt;&gt;"não",LOWER(TRIM(IFERROR(VLOOKUP(A88,'Cadastro Geral Campistas'!$A:$R,15,0),"")))&lt;&gt;"nao",LOWER(TRIM(IFERROR(VLOOKUP(A88,'Cadastro Geral Campistas'!$A:$R,15,0),"")))&lt;&gt;"0")," | Alergia: "&amp;IFERROR(VLOOKUP(A88,'Cadastro Geral Campistas'!$A:$R,15,0),""),""),IF(AND(IFERROR(VLOOKUP(A88,'Cadastro Geral Campistas'!$A:$R,15,0),"")&lt;&gt;"",LOWER(TRIM(IFERROR(VLOOKUP(A88,'Cadastro Geral Campistas'!$A:$R,15,0),"")))&lt;&gt;"não",LOWER(TRIM(IFERROR(VLOOKUP(A88,'Cadastro Geral Campistas'!$A:$R,15,0),"")))&lt;&gt;"nao",LOWER(TRIM(IFERROR(VLOOKUP(A88,'Cadastro Geral Campistas'!$A:$R,15,0),"")))&lt;&gt;"0"),"Alergia: "&amp;IFERROR(VLOOKUP(A88,'Cadastro Geral Campistas'!$A:$R,15,0),""),""))))</f>
        <v/>
      </c>
      <c r="J88" s="72" t="str">
        <f>IFERROR(VLOOKUP(A88,'Cadastro Geral Campistas'!$A:$R,4,0),"")</f>
        <v>M</v>
      </c>
    </row>
    <row r="89" spans="1:10" ht="18" customHeight="1" x14ac:dyDescent="0.55000000000000004">
      <c r="A89" s="57">
        <v>17</v>
      </c>
      <c r="B89" s="7" t="str">
        <f>IFERROR(VLOOKUP(A89,'Cadastro Geral Campistas'!$A:$R,2,0),"")</f>
        <v>Caio Rabelo da Silva Furtado</v>
      </c>
      <c r="C89" s="6">
        <f>IFERROR(VLOOKUP(A89,'Cadastro Geral Campistas'!$A:$R,5,0),"")</f>
        <v>64</v>
      </c>
      <c r="D89" s="6">
        <f>IFERROR(VLOOKUP(A89,'Cadastro Geral Campistas'!$A:$R,6,0),"")</f>
        <v>1.84</v>
      </c>
      <c r="E89" s="6">
        <f>IFERROR(VLOOKUP(A89,'Cadastro Geral Campistas'!$A:$R,7,0),"")</f>
        <v>22</v>
      </c>
      <c r="F89" s="7" t="str">
        <f>IFERROR(VLOOKUP(A89,'Cadastro Geral Campistas'!$A:$R,9,0),"")</f>
        <v>Aparecida de Goiânia</v>
      </c>
      <c r="G89" s="6" t="str">
        <f>IFERROR(VLOOKUP(A89,'Cadastro Geral Campistas'!$A:$R,3,0),"")</f>
        <v>M</v>
      </c>
      <c r="H89" s="7" t="str">
        <f>IFERROR(VLOOKUP(A89,'Cadastro Geral Campistas'!$A:$R,8,0),"")</f>
        <v>+55 (62) 99524-6943</v>
      </c>
      <c r="I89" s="101" t="str">
        <f>IF(AND(IFERROR(VLOOKUP(A89,'Cadastro Geral Campistas'!$A:$R,18,0),0)&gt;0,COUNTIF($A$79:$A$94,IFERROR(VLOOKUP(A89,'Cadastro Geral Campistas'!$A:$R,18,0),0))&gt;0),"⚠️ CONFLITO! Cônjuge na mesma tribo: "&amp;IFERROR(VLOOKUP(IFERROR(VLOOKUP(A89,'Cadastro Geral Campistas'!$A:$R,18,0),0),'Cadastro Geral Campistas'!$A:$R,2,""),""),TRIM(IF(AND(IFERROR(VLOOKUP(A89,'Cadastro Geral Campistas'!$A:$R,10,0),"")&lt;&gt;"",LOWER(TRIM(IFERROR(VLOOKUP(A89,'Cadastro Geral Campistas'!$A:$R,10,0),"")))&lt;&gt;"não",LOWER(TRIM(IFERROR(VLOOKUP(A89,'Cadastro Geral Campistas'!$A:$R,10,0),"")))&lt;&gt;"nao",LOWER(TRIM(IFERROR(VLOOKUP(A89,'Cadastro Geral Campistas'!$A:$R,10,0),"")))&lt;&gt;"0"),IFERROR(VLOOKUP(A89,'Cadastro Geral Campistas'!$A:$R,10,0),"")&amp;IF(AND(IFERROR(VLOOKUP(A89,'Cadastro Geral Campistas'!$A:$R,15,0),"")&lt;&gt;"",LOWER(TRIM(IFERROR(VLOOKUP(A89,'Cadastro Geral Campistas'!$A:$R,15,0),"")))&lt;&gt;"não",LOWER(TRIM(IFERROR(VLOOKUP(A89,'Cadastro Geral Campistas'!$A:$R,15,0),"")))&lt;&gt;"nao",LOWER(TRIM(IFERROR(VLOOKUP(A89,'Cadastro Geral Campistas'!$A:$R,15,0),"")))&lt;&gt;"0")," | Alergia: "&amp;IFERROR(VLOOKUP(A89,'Cadastro Geral Campistas'!$A:$R,15,0),""),""),IF(AND(IFERROR(VLOOKUP(A89,'Cadastro Geral Campistas'!$A:$R,15,0),"")&lt;&gt;"",LOWER(TRIM(IFERROR(VLOOKUP(A89,'Cadastro Geral Campistas'!$A:$R,15,0),"")))&lt;&gt;"não",LOWER(TRIM(IFERROR(VLOOKUP(A89,'Cadastro Geral Campistas'!$A:$R,15,0),"")))&lt;&gt;"nao",LOWER(TRIM(IFERROR(VLOOKUP(A89,'Cadastro Geral Campistas'!$A:$R,15,0),"")))&lt;&gt;"0"),"Alergia: "&amp;IFERROR(VLOOKUP(A89,'Cadastro Geral Campistas'!$A:$R,15,0),""),""))))</f>
        <v/>
      </c>
      <c r="J89" s="58" t="str">
        <f>IFERROR(VLOOKUP(A89,'Cadastro Geral Campistas'!$A:$R,4,0),"")</f>
        <v>M</v>
      </c>
    </row>
    <row r="90" spans="1:10" ht="18" customHeight="1" x14ac:dyDescent="0.55000000000000004">
      <c r="A90" s="71">
        <v>35</v>
      </c>
      <c r="B90" s="25" t="str">
        <f>IFERROR(VLOOKUP(A90,'Cadastro Geral Campistas'!$A:$R,2,0),"")</f>
        <v>EDMAR DE PAULA SILVA</v>
      </c>
      <c r="C90" s="26">
        <f>IFERROR(VLOOKUP(A90,'Cadastro Geral Campistas'!$A:$R,5,0),"")</f>
        <v>87</v>
      </c>
      <c r="D90" s="26">
        <f>IFERROR(VLOOKUP(A90,'Cadastro Geral Campistas'!$A:$R,6,0),"")</f>
        <v>1.75</v>
      </c>
      <c r="E90" s="26">
        <f>IFERROR(VLOOKUP(A90,'Cadastro Geral Campistas'!$A:$R,7,0),"")</f>
        <v>39</v>
      </c>
      <c r="F90" s="25" t="str">
        <f>IFERROR(VLOOKUP(A90,'Cadastro Geral Campistas'!$A:$R,9,0),"")</f>
        <v>FRANCA SP</v>
      </c>
      <c r="G90" s="26" t="str">
        <f>IFERROR(VLOOKUP(A90,'Cadastro Geral Campistas'!$A:$R,3,0),"")</f>
        <v>GG</v>
      </c>
      <c r="H90" s="25" t="str">
        <f>IFERROR(VLOOKUP(A90,'Cadastro Geral Campistas'!$A:$R,8,0),"")</f>
        <v>+55 (16) 99755-3271</v>
      </c>
      <c r="I90" s="107" t="str">
        <f>IF(AND(IFERROR(VLOOKUP(A90,'Cadastro Geral Campistas'!$A:$R,18,0),0)&gt;0,COUNTIF($A$79:$A$94,IFERROR(VLOOKUP(A90,'Cadastro Geral Campistas'!$A:$R,18,0),0))&gt;0),"⚠️ CONFLITO! Cônjuge na mesma tribo: "&amp;IFERROR(VLOOKUP(IFERROR(VLOOKUP(A90,'Cadastro Geral Campistas'!$A:$R,18,0),0),'Cadastro Geral Campistas'!$A:$R,2,""),""),TRIM(IF(AND(IFERROR(VLOOKUP(A90,'Cadastro Geral Campistas'!$A:$R,10,0),"")&lt;&gt;"",LOWER(TRIM(IFERROR(VLOOKUP(A90,'Cadastro Geral Campistas'!$A:$R,10,0),"")))&lt;&gt;"não",LOWER(TRIM(IFERROR(VLOOKUP(A90,'Cadastro Geral Campistas'!$A:$R,10,0),"")))&lt;&gt;"nao",LOWER(TRIM(IFERROR(VLOOKUP(A90,'Cadastro Geral Campistas'!$A:$R,10,0),"")))&lt;&gt;"0"),IFERROR(VLOOKUP(A90,'Cadastro Geral Campistas'!$A:$R,10,0),"")&amp;IF(AND(IFERROR(VLOOKUP(A90,'Cadastro Geral Campistas'!$A:$R,15,0),"")&lt;&gt;"",LOWER(TRIM(IFERROR(VLOOKUP(A90,'Cadastro Geral Campistas'!$A:$R,15,0),"")))&lt;&gt;"não",LOWER(TRIM(IFERROR(VLOOKUP(A90,'Cadastro Geral Campistas'!$A:$R,15,0),"")))&lt;&gt;"nao",LOWER(TRIM(IFERROR(VLOOKUP(A90,'Cadastro Geral Campistas'!$A:$R,15,0),"")))&lt;&gt;"0")," | Alergia: "&amp;IFERROR(VLOOKUP(A90,'Cadastro Geral Campistas'!$A:$R,15,0),""),""),IF(AND(IFERROR(VLOOKUP(A90,'Cadastro Geral Campistas'!$A:$R,15,0),"")&lt;&gt;"",LOWER(TRIM(IFERROR(VLOOKUP(A90,'Cadastro Geral Campistas'!$A:$R,15,0),"")))&lt;&gt;"não",LOWER(TRIM(IFERROR(VLOOKUP(A90,'Cadastro Geral Campistas'!$A:$R,15,0),"")))&lt;&gt;"nao",LOWER(TRIM(IFERROR(VLOOKUP(A90,'Cadastro Geral Campistas'!$A:$R,15,0),"")))&lt;&gt;"0"),"Alergia: "&amp;IFERROR(VLOOKUP(A90,'Cadastro Geral Campistas'!$A:$R,15,0),""),""))))</f>
        <v/>
      </c>
      <c r="J90" s="72" t="str">
        <f>IFERROR(VLOOKUP(A90,'Cadastro Geral Campistas'!$A:$R,4,0),"")</f>
        <v>M</v>
      </c>
    </row>
    <row r="91" spans="1:10" ht="18" customHeight="1" x14ac:dyDescent="0.55000000000000004">
      <c r="A91" s="57">
        <v>46</v>
      </c>
      <c r="B91" s="7" t="str">
        <f>IFERROR(VLOOKUP(A91,'Cadastro Geral Campistas'!$A:$R,2,0),"")</f>
        <v>Fernando Rodrigues Pontes</v>
      </c>
      <c r="C91" s="6">
        <f>IFERROR(VLOOKUP(A91,'Cadastro Geral Campistas'!$A:$R,5,0),"")</f>
        <v>94</v>
      </c>
      <c r="D91" s="6">
        <f>IFERROR(VLOOKUP(A91,'Cadastro Geral Campistas'!$A:$R,6,0),"")</f>
        <v>1.67</v>
      </c>
      <c r="E91" s="6">
        <f>IFERROR(VLOOKUP(A91,'Cadastro Geral Campistas'!$A:$R,7,0),"")</f>
        <v>46</v>
      </c>
      <c r="F91" s="7" t="str">
        <f>IFERROR(VLOOKUP(A91,'Cadastro Geral Campistas'!$A:$R,9,0),"")</f>
        <v>Goiânia</v>
      </c>
      <c r="G91" s="6" t="str">
        <f>IFERROR(VLOOKUP(A91,'Cadastro Geral Campistas'!$A:$R,3,0),"")</f>
        <v>GG</v>
      </c>
      <c r="H91" s="7" t="str">
        <f>IFERROR(VLOOKUP(A91,'Cadastro Geral Campistas'!$A:$R,8,0),"")</f>
        <v>+55 (62) 99269-6899</v>
      </c>
      <c r="I91" s="101" t="str">
        <f>IF(AND(IFERROR(VLOOKUP(A91,'Cadastro Geral Campistas'!$A:$R,18,0),0)&gt;0,COUNTIF($A$79:$A$94,IFERROR(VLOOKUP(A91,'Cadastro Geral Campistas'!$A:$R,18,0),0))&gt;0),"⚠️ CONFLITO! Cônjuge na mesma tribo: "&amp;IFERROR(VLOOKUP(IFERROR(VLOOKUP(A91,'Cadastro Geral Campistas'!$A:$R,18,0),0),'Cadastro Geral Campistas'!$A:$R,2,""),""),TRIM(IF(AND(IFERROR(VLOOKUP(A91,'Cadastro Geral Campistas'!$A:$R,10,0),"")&lt;&gt;"",LOWER(TRIM(IFERROR(VLOOKUP(A91,'Cadastro Geral Campistas'!$A:$R,10,0),"")))&lt;&gt;"não",LOWER(TRIM(IFERROR(VLOOKUP(A91,'Cadastro Geral Campistas'!$A:$R,10,0),"")))&lt;&gt;"nao",LOWER(TRIM(IFERROR(VLOOKUP(A91,'Cadastro Geral Campistas'!$A:$R,10,0),"")))&lt;&gt;"0"),IFERROR(VLOOKUP(A91,'Cadastro Geral Campistas'!$A:$R,10,0),"")&amp;IF(AND(IFERROR(VLOOKUP(A91,'Cadastro Geral Campistas'!$A:$R,15,0),"")&lt;&gt;"",LOWER(TRIM(IFERROR(VLOOKUP(A91,'Cadastro Geral Campistas'!$A:$R,15,0),"")))&lt;&gt;"não",LOWER(TRIM(IFERROR(VLOOKUP(A91,'Cadastro Geral Campistas'!$A:$R,15,0),"")))&lt;&gt;"nao",LOWER(TRIM(IFERROR(VLOOKUP(A91,'Cadastro Geral Campistas'!$A:$R,15,0),"")))&lt;&gt;"0")," | Alergia: "&amp;IFERROR(VLOOKUP(A91,'Cadastro Geral Campistas'!$A:$R,15,0),""),""),IF(AND(IFERROR(VLOOKUP(A91,'Cadastro Geral Campistas'!$A:$R,15,0),"")&lt;&gt;"",LOWER(TRIM(IFERROR(VLOOKUP(A91,'Cadastro Geral Campistas'!$A:$R,15,0),"")))&lt;&gt;"não",LOWER(TRIM(IFERROR(VLOOKUP(A91,'Cadastro Geral Campistas'!$A:$R,15,0),"")))&lt;&gt;"nao",LOWER(TRIM(IFERROR(VLOOKUP(A91,'Cadastro Geral Campistas'!$A:$R,15,0),"")))&lt;&gt;"0"),"Alergia: "&amp;IFERROR(VLOOKUP(A91,'Cadastro Geral Campistas'!$A:$R,15,0),""),""))))</f>
        <v/>
      </c>
      <c r="J91" s="58" t="str">
        <f>IFERROR(VLOOKUP(A91,'Cadastro Geral Campistas'!$A:$R,4,0),"")</f>
        <v>M</v>
      </c>
    </row>
    <row r="92" spans="1:10" ht="18" customHeight="1" x14ac:dyDescent="0.55000000000000004">
      <c r="A92" s="71">
        <v>48</v>
      </c>
      <c r="B92" s="25" t="str">
        <f>IFERROR(VLOOKUP(A92,'Cadastro Geral Campistas'!$A:$R,2,0),"")</f>
        <v>Frederico Rodrigues Gonçalves</v>
      </c>
      <c r="C92" s="26">
        <f>IFERROR(VLOOKUP(A92,'Cadastro Geral Campistas'!$A:$R,5,0),"")</f>
        <v>130</v>
      </c>
      <c r="D92" s="26">
        <f>IFERROR(VLOOKUP(A92,'Cadastro Geral Campistas'!$A:$R,6,0),"")</f>
        <v>1.8</v>
      </c>
      <c r="E92" s="26">
        <f>IFERROR(VLOOKUP(A92,'Cadastro Geral Campistas'!$A:$R,7,0),"")</f>
        <v>32</v>
      </c>
      <c r="F92" s="25" t="str">
        <f>IFERROR(VLOOKUP(A92,'Cadastro Geral Campistas'!$A:$R,9,0),"")</f>
        <v>Goiânia</v>
      </c>
      <c r="G92" s="26" t="str">
        <f>IFERROR(VLOOKUP(A92,'Cadastro Geral Campistas'!$A:$R,3,0),"")</f>
        <v>GG1</v>
      </c>
      <c r="H92" s="25" t="str">
        <f>IFERROR(VLOOKUP(A92,'Cadastro Geral Campistas'!$A:$R,8,0),"")</f>
        <v>+55 (62) 98162-2271</v>
      </c>
      <c r="I92" s="107" t="str">
        <f>IF(AND(IFERROR(VLOOKUP(A92,'Cadastro Geral Campistas'!$A:$R,18,0),0)&gt;0,COUNTIF($A$79:$A$94,IFERROR(VLOOKUP(A92,'Cadastro Geral Campistas'!$A:$R,18,0),0))&gt;0),"⚠️ CONFLITO! Cônjuge na mesma tribo: "&amp;IFERROR(VLOOKUP(IFERROR(VLOOKUP(A92,'Cadastro Geral Campistas'!$A:$R,18,0),0),'Cadastro Geral Campistas'!$A:$R,2,""),""),TRIM(IF(AND(IFERROR(VLOOKUP(A92,'Cadastro Geral Campistas'!$A:$R,10,0),"")&lt;&gt;"",LOWER(TRIM(IFERROR(VLOOKUP(A92,'Cadastro Geral Campistas'!$A:$R,10,0),"")))&lt;&gt;"não",LOWER(TRIM(IFERROR(VLOOKUP(A92,'Cadastro Geral Campistas'!$A:$R,10,0),"")))&lt;&gt;"nao",LOWER(TRIM(IFERROR(VLOOKUP(A92,'Cadastro Geral Campistas'!$A:$R,10,0),"")))&lt;&gt;"0"),IFERROR(VLOOKUP(A92,'Cadastro Geral Campistas'!$A:$R,10,0),"")&amp;IF(AND(IFERROR(VLOOKUP(A92,'Cadastro Geral Campistas'!$A:$R,15,0),"")&lt;&gt;"",LOWER(TRIM(IFERROR(VLOOKUP(A92,'Cadastro Geral Campistas'!$A:$R,15,0),"")))&lt;&gt;"não",LOWER(TRIM(IFERROR(VLOOKUP(A92,'Cadastro Geral Campistas'!$A:$R,15,0),"")))&lt;&gt;"nao",LOWER(TRIM(IFERROR(VLOOKUP(A92,'Cadastro Geral Campistas'!$A:$R,15,0),"")))&lt;&gt;"0")," | Alergia: "&amp;IFERROR(VLOOKUP(A92,'Cadastro Geral Campistas'!$A:$R,15,0),""),""),IF(AND(IFERROR(VLOOKUP(A92,'Cadastro Geral Campistas'!$A:$R,15,0),"")&lt;&gt;"",LOWER(TRIM(IFERROR(VLOOKUP(A92,'Cadastro Geral Campistas'!$A:$R,15,0),"")))&lt;&gt;"não",LOWER(TRIM(IFERROR(VLOOKUP(A92,'Cadastro Geral Campistas'!$A:$R,15,0),"")))&lt;&gt;"nao",LOWER(TRIM(IFERROR(VLOOKUP(A92,'Cadastro Geral Campistas'!$A:$R,15,0),"")))&lt;&gt;"0"),"Alergia: "&amp;IFERROR(VLOOKUP(A92,'Cadastro Geral Campistas'!$A:$R,15,0),""),""))))</f>
        <v/>
      </c>
      <c r="J92" s="72" t="str">
        <f>IFERROR(VLOOKUP(A92,'Cadastro Geral Campistas'!$A:$R,4,0),"")</f>
        <v>M</v>
      </c>
    </row>
    <row r="93" spans="1:10" ht="18" customHeight="1" x14ac:dyDescent="0.55000000000000004">
      <c r="A93" s="57">
        <v>112</v>
      </c>
      <c r="B93" s="7" t="str">
        <f>IFERROR(VLOOKUP(A93,'Cadastro Geral Campistas'!$A:$R,2,0),"")</f>
        <v>PAULO GODOI</v>
      </c>
      <c r="C93" s="6">
        <f>IFERROR(VLOOKUP(A93,'Cadastro Geral Campistas'!$A:$R,5,0),"")</f>
        <v>83</v>
      </c>
      <c r="D93" s="6">
        <f>IFERROR(VLOOKUP(A93,'Cadastro Geral Campistas'!$A:$R,6,0),"")</f>
        <v>1.81</v>
      </c>
      <c r="E93" s="6">
        <f>IFERROR(VLOOKUP(A93,'Cadastro Geral Campistas'!$A:$R,7,0),"")</f>
        <v>30</v>
      </c>
      <c r="F93" s="7" t="str">
        <f>IFERROR(VLOOKUP(A93,'Cadastro Geral Campistas'!$A:$R,9,0),"")</f>
        <v>Goiania</v>
      </c>
      <c r="G93" s="6" t="str">
        <f>IFERROR(VLOOKUP(A93,'Cadastro Geral Campistas'!$A:$R,3,0),"")</f>
        <v>G</v>
      </c>
      <c r="H93" s="7" t="str">
        <f>IFERROR(VLOOKUP(A93,'Cadastro Geral Campistas'!$A:$R,8,0),"")</f>
        <v>+55 (62) 99318-7871</v>
      </c>
      <c r="I93" s="101" t="str">
        <f>IF(AND(IFERROR(VLOOKUP(A93,'Cadastro Geral Campistas'!$A:$R,18,0),0)&gt;0,COUNTIF($A$79:$A$94,IFERROR(VLOOKUP(A93,'Cadastro Geral Campistas'!$A:$R,18,0),0))&gt;0),"⚠️ CONFLITO! Cônjuge na mesma tribo: "&amp;IFERROR(VLOOKUP(IFERROR(VLOOKUP(A93,'Cadastro Geral Campistas'!$A:$R,18,0),0),'Cadastro Geral Campistas'!$A:$R,2,""),""),TRIM(IF(AND(IFERROR(VLOOKUP(A93,'Cadastro Geral Campistas'!$A:$R,10,0),"")&lt;&gt;"",LOWER(TRIM(IFERROR(VLOOKUP(A93,'Cadastro Geral Campistas'!$A:$R,10,0),"")))&lt;&gt;"não",LOWER(TRIM(IFERROR(VLOOKUP(A93,'Cadastro Geral Campistas'!$A:$R,10,0),"")))&lt;&gt;"nao",LOWER(TRIM(IFERROR(VLOOKUP(A93,'Cadastro Geral Campistas'!$A:$R,10,0),"")))&lt;&gt;"0"),IFERROR(VLOOKUP(A93,'Cadastro Geral Campistas'!$A:$R,10,0),"")&amp;IF(AND(IFERROR(VLOOKUP(A93,'Cadastro Geral Campistas'!$A:$R,15,0),"")&lt;&gt;"",LOWER(TRIM(IFERROR(VLOOKUP(A93,'Cadastro Geral Campistas'!$A:$R,15,0),"")))&lt;&gt;"não",LOWER(TRIM(IFERROR(VLOOKUP(A93,'Cadastro Geral Campistas'!$A:$R,15,0),"")))&lt;&gt;"nao",LOWER(TRIM(IFERROR(VLOOKUP(A93,'Cadastro Geral Campistas'!$A:$R,15,0),"")))&lt;&gt;"0")," | Alergia: "&amp;IFERROR(VLOOKUP(A93,'Cadastro Geral Campistas'!$A:$R,15,0),""),""),IF(AND(IFERROR(VLOOKUP(A93,'Cadastro Geral Campistas'!$A:$R,15,0),"")&lt;&gt;"",LOWER(TRIM(IFERROR(VLOOKUP(A93,'Cadastro Geral Campistas'!$A:$R,15,0),"")))&lt;&gt;"não",LOWER(TRIM(IFERROR(VLOOKUP(A93,'Cadastro Geral Campistas'!$A:$R,15,0),"")))&lt;&gt;"nao",LOWER(TRIM(IFERROR(VLOOKUP(A93,'Cadastro Geral Campistas'!$A:$R,15,0),"")))&lt;&gt;"0"),"Alergia: "&amp;IFERROR(VLOOKUP(A93,'Cadastro Geral Campistas'!$A:$R,15,0),""),""))))</f>
        <v>Sim, Valter Jr. como servidor</v>
      </c>
      <c r="J93" s="58" t="str">
        <f>IFERROR(VLOOKUP(A93,'Cadastro Geral Campistas'!$A:$R,4,0),"")</f>
        <v>M</v>
      </c>
    </row>
    <row r="94" spans="1:10" ht="18" customHeight="1" x14ac:dyDescent="0.55000000000000004">
      <c r="A94" s="71">
        <v>114</v>
      </c>
      <c r="B94" s="25" t="str">
        <f>IFERROR(VLOOKUP(A94,'Cadastro Geral Campistas'!$A:$R,2,0),"")</f>
        <v>Pedro Luan Torres</v>
      </c>
      <c r="C94" s="26">
        <f>IFERROR(VLOOKUP(A94,'Cadastro Geral Campistas'!$A:$R,5,0),"")</f>
        <v>85</v>
      </c>
      <c r="D94" s="26">
        <f>IFERROR(VLOOKUP(A94,'Cadastro Geral Campistas'!$A:$R,6,0),"")</f>
        <v>1.75</v>
      </c>
      <c r="E94" s="26">
        <f>IFERROR(VLOOKUP(A94,'Cadastro Geral Campistas'!$A:$R,7,0),"")</f>
        <v>24</v>
      </c>
      <c r="F94" s="25" t="str">
        <f>IFERROR(VLOOKUP(A94,'Cadastro Geral Campistas'!$A:$R,9,0),"")</f>
        <v>Goiânia</v>
      </c>
      <c r="G94" s="26" t="str">
        <f>IFERROR(VLOOKUP(A94,'Cadastro Geral Campistas'!$A:$R,3,0),"")</f>
        <v>G</v>
      </c>
      <c r="H94" s="25" t="str">
        <f>IFERROR(VLOOKUP(A94,'Cadastro Geral Campistas'!$A:$R,8,0),"")</f>
        <v>+55 (62) 98618-7482</v>
      </c>
      <c r="I94" s="107" t="str">
        <f>IF(AND(IFERROR(VLOOKUP(A94,'Cadastro Geral Campistas'!$A:$R,18,0),0)&gt;0,COUNTIF($A$79:$A$94,IFERROR(VLOOKUP(A94,'Cadastro Geral Campistas'!$A:$R,18,0),0))&gt;0),"⚠️ CONFLITO! Cônjuge na mesma tribo: "&amp;IFERROR(VLOOKUP(IFERROR(VLOOKUP(A94,'Cadastro Geral Campistas'!$A:$R,18,0),0),'Cadastro Geral Campistas'!$A:$R,2,""),""),TRIM(IF(AND(IFERROR(VLOOKUP(A94,'Cadastro Geral Campistas'!$A:$R,10,0),"")&lt;&gt;"",LOWER(TRIM(IFERROR(VLOOKUP(A94,'Cadastro Geral Campistas'!$A:$R,10,0),"")))&lt;&gt;"não",LOWER(TRIM(IFERROR(VLOOKUP(A94,'Cadastro Geral Campistas'!$A:$R,10,0),"")))&lt;&gt;"nao",LOWER(TRIM(IFERROR(VLOOKUP(A94,'Cadastro Geral Campistas'!$A:$R,10,0),"")))&lt;&gt;"0"),IFERROR(VLOOKUP(A94,'Cadastro Geral Campistas'!$A:$R,10,0),"")&amp;IF(AND(IFERROR(VLOOKUP(A94,'Cadastro Geral Campistas'!$A:$R,15,0),"")&lt;&gt;"",LOWER(TRIM(IFERROR(VLOOKUP(A94,'Cadastro Geral Campistas'!$A:$R,15,0),"")))&lt;&gt;"não",LOWER(TRIM(IFERROR(VLOOKUP(A94,'Cadastro Geral Campistas'!$A:$R,15,0),"")))&lt;&gt;"nao",LOWER(TRIM(IFERROR(VLOOKUP(A94,'Cadastro Geral Campistas'!$A:$R,15,0),"")))&lt;&gt;"0")," | Alergia: "&amp;IFERROR(VLOOKUP(A94,'Cadastro Geral Campistas'!$A:$R,15,0),""),""),IF(AND(IFERROR(VLOOKUP(A94,'Cadastro Geral Campistas'!$A:$R,15,0),"")&lt;&gt;"",LOWER(TRIM(IFERROR(VLOOKUP(A94,'Cadastro Geral Campistas'!$A:$R,15,0),"")))&lt;&gt;"não",LOWER(TRIM(IFERROR(VLOOKUP(A94,'Cadastro Geral Campistas'!$A:$R,15,0),"")))&lt;&gt;"nao",LOWER(TRIM(IFERROR(VLOOKUP(A94,'Cadastro Geral Campistas'!$A:$R,15,0),"")))&lt;&gt;"0"),"Alergia: "&amp;IFERROR(VLOOKUP(A94,'Cadastro Geral Campistas'!$A:$R,15,0),""),""))))</f>
        <v/>
      </c>
      <c r="J94" s="72" t="str">
        <f>IFERROR(VLOOKUP(A94,'Cadastro Geral Campistas'!$A:$R,4,0),"")</f>
        <v>M</v>
      </c>
    </row>
    <row r="95" spans="1:10" x14ac:dyDescent="0.55000000000000004">
      <c r="A95" s="61" t="s">
        <v>17</v>
      </c>
      <c r="B95" s="20"/>
      <c r="C95" s="20">
        <f>IFERROR(ROUND(AVERAGE(C79:C94),1),"")</f>
        <v>80.900000000000006</v>
      </c>
      <c r="D95" s="20"/>
      <c r="E95" s="20">
        <f>IFERROR(ROUND(AVERAGE(E79:E94),1),"")</f>
        <v>37.299999999999997</v>
      </c>
      <c r="F95" s="116"/>
      <c r="G95" s="104"/>
      <c r="H95" s="104"/>
      <c r="I95" s="126" t="str">
        <f>COUNTIF(J79:J94,"F")&amp;"  F    |    "&amp;COUNTIF(J79:J94,"M")&amp;"  M"</f>
        <v>8  F    |    8  M</v>
      </c>
      <c r="J95" s="127"/>
    </row>
    <row r="96" spans="1:10" x14ac:dyDescent="0.55000000000000004">
      <c r="A96" s="118"/>
      <c r="B96" s="119"/>
      <c r="C96" s="119"/>
      <c r="D96" s="119"/>
      <c r="E96" s="119"/>
      <c r="F96" s="119"/>
      <c r="G96" s="119"/>
      <c r="H96" s="119"/>
      <c r="I96" s="138" t="s">
        <v>18</v>
      </c>
      <c r="J96" s="131"/>
    </row>
    <row r="97" spans="1:10" x14ac:dyDescent="0.55000000000000004">
      <c r="A97" s="120"/>
      <c r="B97" s="121"/>
      <c r="C97" s="121"/>
      <c r="D97" s="121"/>
      <c r="E97" s="121"/>
      <c r="F97" s="121"/>
      <c r="G97" s="121"/>
      <c r="H97" s="121"/>
      <c r="I97" s="124" t="s">
        <v>47</v>
      </c>
      <c r="J97" s="125"/>
    </row>
    <row r="98" spans="1:10" x14ac:dyDescent="0.55000000000000004">
      <c r="A98" s="120"/>
      <c r="B98" s="121"/>
      <c r="C98" s="121"/>
      <c r="D98" s="121"/>
      <c r="E98" s="121"/>
      <c r="F98" s="121"/>
      <c r="G98" s="121"/>
      <c r="H98" s="121"/>
      <c r="I98" s="124" t="s">
        <v>48</v>
      </c>
      <c r="J98" s="125"/>
    </row>
    <row r="99" spans="1:10" x14ac:dyDescent="0.55000000000000004">
      <c r="A99" s="120"/>
      <c r="B99" s="121"/>
      <c r="C99" s="121"/>
      <c r="D99" s="121"/>
      <c r="E99" s="121"/>
      <c r="F99" s="121"/>
      <c r="G99" s="121"/>
      <c r="H99" s="121"/>
      <c r="I99" s="124" t="s">
        <v>49</v>
      </c>
      <c r="J99" s="125"/>
    </row>
    <row r="100" spans="1:10" x14ac:dyDescent="0.55000000000000004">
      <c r="A100" s="120"/>
      <c r="B100" s="121"/>
      <c r="C100" s="121"/>
      <c r="D100" s="121"/>
      <c r="E100" s="121"/>
      <c r="F100" s="121"/>
      <c r="G100" s="121"/>
      <c r="H100" s="121"/>
      <c r="I100" s="124" t="s">
        <v>50</v>
      </c>
      <c r="J100" s="125"/>
    </row>
    <row r="101" spans="1:10" x14ac:dyDescent="0.55000000000000004">
      <c r="A101" s="120"/>
      <c r="B101" s="121"/>
      <c r="C101" s="121"/>
      <c r="D101" s="121"/>
      <c r="E101" s="121"/>
      <c r="F101" s="121"/>
      <c r="G101" s="121"/>
      <c r="H101" s="121"/>
      <c r="I101" s="124" t="s">
        <v>51</v>
      </c>
      <c r="J101" s="125"/>
    </row>
    <row r="102" spans="1:10" x14ac:dyDescent="0.55000000000000004">
      <c r="A102" s="120"/>
      <c r="B102" s="121"/>
      <c r="C102" s="121"/>
      <c r="D102" s="121"/>
      <c r="E102" s="121"/>
      <c r="F102" s="121"/>
      <c r="G102" s="121"/>
      <c r="H102" s="121"/>
      <c r="I102" s="124" t="s">
        <v>52</v>
      </c>
      <c r="J102" s="125"/>
    </row>
    <row r="103" spans="1:10" x14ac:dyDescent="0.55000000000000004">
      <c r="A103" s="120"/>
      <c r="B103" s="121"/>
      <c r="C103" s="121"/>
      <c r="D103" s="121"/>
      <c r="E103" s="121"/>
      <c r="F103" s="121"/>
      <c r="G103" s="121"/>
      <c r="H103" s="121"/>
      <c r="I103" s="124" t="s">
        <v>53</v>
      </c>
      <c r="J103" s="125"/>
    </row>
    <row r="104" spans="1:10" x14ac:dyDescent="0.55000000000000004">
      <c r="A104" s="120"/>
      <c r="B104" s="121"/>
      <c r="C104" s="121"/>
      <c r="D104" s="121"/>
      <c r="E104" s="121"/>
      <c r="F104" s="121"/>
      <c r="G104" s="121"/>
      <c r="H104" s="121"/>
      <c r="I104" s="124" t="s">
        <v>54</v>
      </c>
      <c r="J104" s="125"/>
    </row>
    <row r="105" spans="1:10" ht="14.7" customHeight="1" thickBot="1" x14ac:dyDescent="0.6">
      <c r="A105" s="122"/>
      <c r="B105" s="123"/>
      <c r="C105" s="123"/>
      <c r="D105" s="123"/>
      <c r="E105" s="123"/>
      <c r="F105" s="123"/>
      <c r="G105" s="123"/>
      <c r="H105" s="123"/>
      <c r="I105" s="132" t="s">
        <v>55</v>
      </c>
      <c r="J105" s="133"/>
    </row>
    <row r="106" spans="1:10" ht="28" customHeight="1" x14ac:dyDescent="0.55000000000000004">
      <c r="A106" s="175" t="s">
        <v>56</v>
      </c>
      <c r="B106" s="136"/>
      <c r="C106" s="136"/>
      <c r="D106" s="136"/>
      <c r="E106" s="180" t="s">
        <v>57</v>
      </c>
      <c r="F106" s="136"/>
      <c r="G106" s="136"/>
      <c r="H106" s="136"/>
      <c r="I106" s="136"/>
      <c r="J106" s="144"/>
    </row>
    <row r="107" spans="1:10" x14ac:dyDescent="0.55000000000000004">
      <c r="A107" s="149" t="s">
        <v>2</v>
      </c>
      <c r="B107" s="121"/>
      <c r="C107" s="121"/>
      <c r="D107" s="121"/>
      <c r="E107" s="121"/>
      <c r="F107" s="121"/>
      <c r="G107" s="158" t="s">
        <v>3</v>
      </c>
      <c r="H107" s="121"/>
      <c r="I107" s="121"/>
      <c r="J107" s="52"/>
    </row>
    <row r="108" spans="1:10" x14ac:dyDescent="0.55000000000000004">
      <c r="A108" s="120"/>
      <c r="B108" s="121"/>
      <c r="C108" s="121"/>
      <c r="D108" s="121"/>
      <c r="E108" s="121"/>
      <c r="F108" s="121"/>
      <c r="G108" s="121"/>
      <c r="H108" s="121"/>
      <c r="I108" s="121"/>
      <c r="J108" s="52"/>
    </row>
    <row r="109" spans="1:10" x14ac:dyDescent="0.55000000000000004">
      <c r="A109" s="120"/>
      <c r="B109" s="121"/>
      <c r="C109" s="121"/>
      <c r="D109" s="121"/>
      <c r="E109" s="121"/>
      <c r="F109" s="121"/>
      <c r="G109" s="121"/>
      <c r="H109" s="121"/>
      <c r="I109" s="121"/>
      <c r="J109" s="52"/>
    </row>
    <row r="110" spans="1:10" x14ac:dyDescent="0.55000000000000004">
      <c r="A110" s="147" t="s">
        <v>58</v>
      </c>
      <c r="B110" s="121"/>
      <c r="C110" s="121"/>
      <c r="D110" s="128"/>
      <c r="E110" s="121"/>
      <c r="F110" s="121"/>
      <c r="G110" s="152" t="s">
        <v>59</v>
      </c>
      <c r="H110" s="121"/>
      <c r="I110" s="121"/>
      <c r="J110" s="125"/>
    </row>
    <row r="111" spans="1:10" x14ac:dyDescent="0.55000000000000004">
      <c r="A111" s="147" t="s">
        <v>60</v>
      </c>
      <c r="B111" s="121"/>
      <c r="C111" s="121"/>
      <c r="D111" s="121"/>
      <c r="E111" s="121"/>
      <c r="F111" s="121"/>
      <c r="G111" s="145"/>
      <c r="H111" s="121"/>
      <c r="I111" s="121"/>
      <c r="J111" s="125"/>
    </row>
    <row r="112" spans="1:10" x14ac:dyDescent="0.55000000000000004">
      <c r="A112" s="162"/>
      <c r="B112" s="129"/>
      <c r="C112" s="129"/>
      <c r="D112" s="129"/>
      <c r="E112" s="129"/>
      <c r="F112" s="129"/>
      <c r="G112" s="129"/>
      <c r="H112" s="129"/>
      <c r="I112" s="129"/>
      <c r="J112" s="146"/>
    </row>
    <row r="113" spans="1:10" x14ac:dyDescent="0.55000000000000004">
      <c r="A113" s="73" t="s">
        <v>7</v>
      </c>
      <c r="B113" s="27" t="s">
        <v>8</v>
      </c>
      <c r="C113" s="27" t="s">
        <v>9</v>
      </c>
      <c r="D113" s="27" t="s">
        <v>10</v>
      </c>
      <c r="E113" s="27" t="s">
        <v>11</v>
      </c>
      <c r="F113" s="27" t="s">
        <v>12</v>
      </c>
      <c r="G113" s="27" t="s">
        <v>13</v>
      </c>
      <c r="H113" s="27" t="s">
        <v>14</v>
      </c>
      <c r="I113" s="27" t="s">
        <v>15</v>
      </c>
      <c r="J113" s="74" t="s">
        <v>16</v>
      </c>
    </row>
    <row r="114" spans="1:10" ht="18" customHeight="1" x14ac:dyDescent="0.55000000000000004">
      <c r="A114" s="57">
        <v>42</v>
      </c>
      <c r="B114" s="7" t="str">
        <f>IFERROR(VLOOKUP(A114,'Cadastro Geral Campistas'!$A:$R,2,0),"")</f>
        <v>Fernanda Gonçalves de Oliveira</v>
      </c>
      <c r="C114" s="6">
        <f>IFERROR(VLOOKUP(A114,'Cadastro Geral Campistas'!$A:$R,5,0),"")</f>
        <v>73</v>
      </c>
      <c r="D114" s="6">
        <f>IFERROR(VLOOKUP(A114,'Cadastro Geral Campistas'!$A:$R,6,0),"")</f>
        <v>1.65</v>
      </c>
      <c r="E114" s="6">
        <f>IFERROR(VLOOKUP(A114,'Cadastro Geral Campistas'!$A:$R,7,0),"")</f>
        <v>49</v>
      </c>
      <c r="F114" s="7" t="str">
        <f>IFERROR(VLOOKUP(A114,'Cadastro Geral Campistas'!$A:$R,9,0),"")</f>
        <v>Vianópolis</v>
      </c>
      <c r="G114" s="6" t="str">
        <f>IFERROR(VLOOKUP(A114,'Cadastro Geral Campistas'!$A:$R,3,0),"")</f>
        <v>M</v>
      </c>
      <c r="H114" s="7" t="str">
        <f>IFERROR(VLOOKUP(A114,'Cadastro Geral Campistas'!$A:$R,8,0),"")</f>
        <v>+55 (62) 99889-6049</v>
      </c>
      <c r="I114" s="101" t="str">
        <f>IF(AND(IFERROR(VLOOKUP(A114,'Cadastro Geral Campistas'!$A:$R,18,0),0)&gt;0,COUNTIF($A$114:$A$129,IFERROR(VLOOKUP(A114,'Cadastro Geral Campistas'!$A:$R,18,0),0))&gt;0),"⚠️ CONFLITO! Cônjuge na mesma tribo: "&amp;IFERROR(VLOOKUP(IFERROR(VLOOKUP(A114,'Cadastro Geral Campistas'!$A:$R,18,0),0),'Cadastro Geral Campistas'!$A:$R,2,""),""),TRIM(IF(AND(IFERROR(VLOOKUP(A114,'Cadastro Geral Campistas'!$A:$R,10,0),"")&lt;&gt;"",LOWER(TRIM(IFERROR(VLOOKUP(A114,'Cadastro Geral Campistas'!$A:$R,10,0),"")))&lt;&gt;"não",LOWER(TRIM(IFERROR(VLOOKUP(A114,'Cadastro Geral Campistas'!$A:$R,10,0),"")))&lt;&gt;"nao",LOWER(TRIM(IFERROR(VLOOKUP(A114,'Cadastro Geral Campistas'!$A:$R,10,0),"")))&lt;&gt;"0"),IFERROR(VLOOKUP(A114,'Cadastro Geral Campistas'!$A:$R,10,0),"")&amp;IF(AND(IFERROR(VLOOKUP(A114,'Cadastro Geral Campistas'!$A:$R,15,0),"")&lt;&gt;"",LOWER(TRIM(IFERROR(VLOOKUP(A114,'Cadastro Geral Campistas'!$A:$R,15,0),"")))&lt;&gt;"não",LOWER(TRIM(IFERROR(VLOOKUP(A114,'Cadastro Geral Campistas'!$A:$R,15,0),"")))&lt;&gt;"nao",LOWER(TRIM(IFERROR(VLOOKUP(A114,'Cadastro Geral Campistas'!$A:$R,15,0),"")))&lt;&gt;"0")," | Alergia: "&amp;IFERROR(VLOOKUP(A114,'Cadastro Geral Campistas'!$A:$R,15,0),""),""),IF(AND(IFERROR(VLOOKUP(A114,'Cadastro Geral Campistas'!$A:$R,15,0),"")&lt;&gt;"",LOWER(TRIM(IFERROR(VLOOKUP(A114,'Cadastro Geral Campistas'!$A:$R,15,0),"")))&lt;&gt;"não",LOWER(TRIM(IFERROR(VLOOKUP(A114,'Cadastro Geral Campistas'!$A:$R,15,0),"")))&lt;&gt;"nao",LOWER(TRIM(IFERROR(VLOOKUP(A114,'Cadastro Geral Campistas'!$A:$R,15,0),"")))&lt;&gt;"0"),"Alergia: "&amp;IFERROR(VLOOKUP(A114,'Cadastro Geral Campistas'!$A:$R,15,0),""),""))))</f>
        <v>Elisvania Maria, Nilson Oliveira, Matheus Romualdo</v>
      </c>
      <c r="J114" s="58" t="str">
        <f>IFERROR(VLOOKUP(A114,'Cadastro Geral Campistas'!$A:$R,4,0),"")</f>
        <v>F</v>
      </c>
    </row>
    <row r="115" spans="1:10" ht="18" customHeight="1" x14ac:dyDescent="0.55000000000000004">
      <c r="A115" s="75">
        <v>69</v>
      </c>
      <c r="B115" s="28" t="str">
        <f>IFERROR(VLOOKUP(A115,'Cadastro Geral Campistas'!$A:$R,2,0),"")</f>
        <v>Júlia Santos de Assis</v>
      </c>
      <c r="C115" s="29">
        <f>IFERROR(VLOOKUP(A115,'Cadastro Geral Campistas'!$A:$R,5,0),"")</f>
        <v>68</v>
      </c>
      <c r="D115" s="29">
        <f>IFERROR(VLOOKUP(A115,'Cadastro Geral Campistas'!$A:$R,6,0),"")</f>
        <v>1.67</v>
      </c>
      <c r="E115" s="29">
        <f>IFERROR(VLOOKUP(A115,'Cadastro Geral Campistas'!$A:$R,7,0),"")</f>
        <v>21</v>
      </c>
      <c r="F115" s="28" t="str">
        <f>IFERROR(VLOOKUP(A115,'Cadastro Geral Campistas'!$A:$R,9,0),"")</f>
        <v>Goiânia</v>
      </c>
      <c r="G115" s="29" t="str">
        <f>IFERROR(VLOOKUP(A115,'Cadastro Geral Campistas'!$A:$R,3,0),"")</f>
        <v>P</v>
      </c>
      <c r="H115" s="28" t="str">
        <f>IFERROR(VLOOKUP(A115,'Cadastro Geral Campistas'!$A:$R,8,0),"")</f>
        <v>+55 (62) 98224-5578</v>
      </c>
      <c r="I115" s="108" t="str">
        <f>IF(AND(IFERROR(VLOOKUP(A115,'Cadastro Geral Campistas'!$A:$R,18,0),0)&gt;0,COUNTIF($A$114:$A$129,IFERROR(VLOOKUP(A115,'Cadastro Geral Campistas'!$A:$R,18,0),0))&gt;0),"⚠️ CONFLITO! Cônjuge na mesma tribo: "&amp;IFERROR(VLOOKUP(IFERROR(VLOOKUP(A115,'Cadastro Geral Campistas'!$A:$R,18,0),0),'Cadastro Geral Campistas'!$A:$R,2,""),""),TRIM(IF(AND(IFERROR(VLOOKUP(A115,'Cadastro Geral Campistas'!$A:$R,10,0),"")&lt;&gt;"",LOWER(TRIM(IFERROR(VLOOKUP(A115,'Cadastro Geral Campistas'!$A:$R,10,0),"")))&lt;&gt;"não",LOWER(TRIM(IFERROR(VLOOKUP(A115,'Cadastro Geral Campistas'!$A:$R,10,0),"")))&lt;&gt;"nao",LOWER(TRIM(IFERROR(VLOOKUP(A115,'Cadastro Geral Campistas'!$A:$R,10,0),"")))&lt;&gt;"0"),IFERROR(VLOOKUP(A115,'Cadastro Geral Campistas'!$A:$R,10,0),"")&amp;IF(AND(IFERROR(VLOOKUP(A115,'Cadastro Geral Campistas'!$A:$R,15,0),"")&lt;&gt;"",LOWER(TRIM(IFERROR(VLOOKUP(A115,'Cadastro Geral Campistas'!$A:$R,15,0),"")))&lt;&gt;"não",LOWER(TRIM(IFERROR(VLOOKUP(A115,'Cadastro Geral Campistas'!$A:$R,15,0),"")))&lt;&gt;"nao",LOWER(TRIM(IFERROR(VLOOKUP(A115,'Cadastro Geral Campistas'!$A:$R,15,0),"")))&lt;&gt;"0")," | Alergia: "&amp;IFERROR(VLOOKUP(A115,'Cadastro Geral Campistas'!$A:$R,15,0),""),""),IF(AND(IFERROR(VLOOKUP(A115,'Cadastro Geral Campistas'!$A:$R,15,0),"")&lt;&gt;"",LOWER(TRIM(IFERROR(VLOOKUP(A115,'Cadastro Geral Campistas'!$A:$R,15,0),"")))&lt;&gt;"não",LOWER(TRIM(IFERROR(VLOOKUP(A115,'Cadastro Geral Campistas'!$A:$R,15,0),"")))&lt;&gt;"nao",LOWER(TRIM(IFERROR(VLOOKUP(A115,'Cadastro Geral Campistas'!$A:$R,15,0),"")))&lt;&gt;"0"),"Alergia: "&amp;IFERROR(VLOOKUP(A115,'Cadastro Geral Campistas'!$A:$R,15,0),""),""))))</f>
        <v>Alergia: Amoxicilina</v>
      </c>
      <c r="J115" s="76" t="str">
        <f>IFERROR(VLOOKUP(A115,'Cadastro Geral Campistas'!$A:$R,4,0),"")</f>
        <v>F</v>
      </c>
    </row>
    <row r="116" spans="1:10" ht="18" customHeight="1" x14ac:dyDescent="0.55000000000000004">
      <c r="A116" s="57">
        <v>85</v>
      </c>
      <c r="B116" s="7" t="str">
        <f>IFERROR(VLOOKUP(A116,'Cadastro Geral Campistas'!$A:$R,2,0),"")</f>
        <v>Ludmilla Batista da Silva</v>
      </c>
      <c r="C116" s="6">
        <f>IFERROR(VLOOKUP(A116,'Cadastro Geral Campistas'!$A:$R,5,0),"")</f>
        <v>62</v>
      </c>
      <c r="D116" s="6">
        <f>IFERROR(VLOOKUP(A116,'Cadastro Geral Campistas'!$A:$R,6,0),"")</f>
        <v>1.63</v>
      </c>
      <c r="E116" s="6">
        <f>IFERROR(VLOOKUP(A116,'Cadastro Geral Campistas'!$A:$R,7,0),"")</f>
        <v>33</v>
      </c>
      <c r="F116" s="7" t="str">
        <f>IFERROR(VLOOKUP(A116,'Cadastro Geral Campistas'!$A:$R,9,0),"")</f>
        <v>Silvania</v>
      </c>
      <c r="G116" s="6" t="str">
        <f>IFERROR(VLOOKUP(A116,'Cadastro Geral Campistas'!$A:$R,3,0),"")</f>
        <v>M</v>
      </c>
      <c r="H116" s="7" t="str">
        <f>IFERROR(VLOOKUP(A116,'Cadastro Geral Campistas'!$A:$R,8,0),"")</f>
        <v>+55 (62) 99854-1307</v>
      </c>
      <c r="I116" s="101" t="str">
        <f>IF(AND(IFERROR(VLOOKUP(A116,'Cadastro Geral Campistas'!$A:$R,18,0),0)&gt;0,COUNTIF($A$114:$A$129,IFERROR(VLOOKUP(A116,'Cadastro Geral Campistas'!$A:$R,18,0),0))&gt;0),"⚠️ CONFLITO! Cônjuge na mesma tribo: "&amp;IFERROR(VLOOKUP(IFERROR(VLOOKUP(A116,'Cadastro Geral Campistas'!$A:$R,18,0),0),'Cadastro Geral Campistas'!$A:$R,2,""),""),TRIM(IF(AND(IFERROR(VLOOKUP(A116,'Cadastro Geral Campistas'!$A:$R,10,0),"")&lt;&gt;"",LOWER(TRIM(IFERROR(VLOOKUP(A116,'Cadastro Geral Campistas'!$A:$R,10,0),"")))&lt;&gt;"não",LOWER(TRIM(IFERROR(VLOOKUP(A116,'Cadastro Geral Campistas'!$A:$R,10,0),"")))&lt;&gt;"nao",LOWER(TRIM(IFERROR(VLOOKUP(A116,'Cadastro Geral Campistas'!$A:$R,10,0),"")))&lt;&gt;"0"),IFERROR(VLOOKUP(A116,'Cadastro Geral Campistas'!$A:$R,10,0),"")&amp;IF(AND(IFERROR(VLOOKUP(A116,'Cadastro Geral Campistas'!$A:$R,15,0),"")&lt;&gt;"",LOWER(TRIM(IFERROR(VLOOKUP(A116,'Cadastro Geral Campistas'!$A:$R,15,0),"")))&lt;&gt;"não",LOWER(TRIM(IFERROR(VLOOKUP(A116,'Cadastro Geral Campistas'!$A:$R,15,0),"")))&lt;&gt;"nao",LOWER(TRIM(IFERROR(VLOOKUP(A116,'Cadastro Geral Campistas'!$A:$R,15,0),"")))&lt;&gt;"0")," | Alergia: "&amp;IFERROR(VLOOKUP(A116,'Cadastro Geral Campistas'!$A:$R,15,0),""),""),IF(AND(IFERROR(VLOOKUP(A116,'Cadastro Geral Campistas'!$A:$R,15,0),"")&lt;&gt;"",LOWER(TRIM(IFERROR(VLOOKUP(A116,'Cadastro Geral Campistas'!$A:$R,15,0),"")))&lt;&gt;"não",LOWER(TRIM(IFERROR(VLOOKUP(A116,'Cadastro Geral Campistas'!$A:$R,15,0),"")))&lt;&gt;"nao",LOWER(TRIM(IFERROR(VLOOKUP(A116,'Cadastro Geral Campistas'!$A:$R,15,0),"")))&lt;&gt;"0"),"Alergia: "&amp;IFERROR(VLOOKUP(A116,'Cadastro Geral Campistas'!$A:$R,15,0),""),""))))</f>
        <v/>
      </c>
      <c r="J116" s="58" t="str">
        <f>IFERROR(VLOOKUP(A116,'Cadastro Geral Campistas'!$A:$R,4,0),"")</f>
        <v>F</v>
      </c>
    </row>
    <row r="117" spans="1:10" ht="18" customHeight="1" x14ac:dyDescent="0.55000000000000004">
      <c r="A117" s="75">
        <v>88</v>
      </c>
      <c r="B117" s="28" t="str">
        <f>IFERROR(VLOOKUP(A117,'Cadastro Geral Campistas'!$A:$R,2,0),"")</f>
        <v>Luzivânia Vieira Jardim Alencar</v>
      </c>
      <c r="C117" s="29">
        <f>IFERROR(VLOOKUP(A117,'Cadastro Geral Campistas'!$A:$R,5,0),"")</f>
        <v>90</v>
      </c>
      <c r="D117" s="29">
        <f>IFERROR(VLOOKUP(A117,'Cadastro Geral Campistas'!$A:$R,6,0),"")</f>
        <v>1.63</v>
      </c>
      <c r="E117" s="29">
        <f>IFERROR(VLOOKUP(A117,'Cadastro Geral Campistas'!$A:$R,7,0),"")</f>
        <v>53</v>
      </c>
      <c r="F117" s="28" t="str">
        <f>IFERROR(VLOOKUP(A117,'Cadastro Geral Campistas'!$A:$R,9,0),"")</f>
        <v>Goiânia</v>
      </c>
      <c r="G117" s="29" t="str">
        <f>IFERROR(VLOOKUP(A117,'Cadastro Geral Campistas'!$A:$R,3,0),"")</f>
        <v>GG</v>
      </c>
      <c r="H117" s="28" t="str">
        <f>IFERROR(VLOOKUP(A117,'Cadastro Geral Campistas'!$A:$R,8,0),"")</f>
        <v>+55 (62) 99255-2374</v>
      </c>
      <c r="I117" s="108" t="str">
        <f>IF(AND(IFERROR(VLOOKUP(A117,'Cadastro Geral Campistas'!$A:$R,18,0),0)&gt;0,COUNTIF($A$114:$A$129,IFERROR(VLOOKUP(A117,'Cadastro Geral Campistas'!$A:$R,18,0),0))&gt;0),"⚠️ CONFLITO! Cônjuge na mesma tribo: "&amp;IFERROR(VLOOKUP(IFERROR(VLOOKUP(A117,'Cadastro Geral Campistas'!$A:$R,18,0),0),'Cadastro Geral Campistas'!$A:$R,2,""),""),TRIM(IF(AND(IFERROR(VLOOKUP(A117,'Cadastro Geral Campistas'!$A:$R,10,0),"")&lt;&gt;"",LOWER(TRIM(IFERROR(VLOOKUP(A117,'Cadastro Geral Campistas'!$A:$R,10,0),"")))&lt;&gt;"não",LOWER(TRIM(IFERROR(VLOOKUP(A117,'Cadastro Geral Campistas'!$A:$R,10,0),"")))&lt;&gt;"nao",LOWER(TRIM(IFERROR(VLOOKUP(A117,'Cadastro Geral Campistas'!$A:$R,10,0),"")))&lt;&gt;"0"),IFERROR(VLOOKUP(A117,'Cadastro Geral Campistas'!$A:$R,10,0),"")&amp;IF(AND(IFERROR(VLOOKUP(A117,'Cadastro Geral Campistas'!$A:$R,15,0),"")&lt;&gt;"",LOWER(TRIM(IFERROR(VLOOKUP(A117,'Cadastro Geral Campistas'!$A:$R,15,0),"")))&lt;&gt;"não",LOWER(TRIM(IFERROR(VLOOKUP(A117,'Cadastro Geral Campistas'!$A:$R,15,0),"")))&lt;&gt;"nao",LOWER(TRIM(IFERROR(VLOOKUP(A117,'Cadastro Geral Campistas'!$A:$R,15,0),"")))&lt;&gt;"0")," | Alergia: "&amp;IFERROR(VLOOKUP(A117,'Cadastro Geral Campistas'!$A:$R,15,0),""),""),IF(AND(IFERROR(VLOOKUP(A117,'Cadastro Geral Campistas'!$A:$R,15,0),"")&lt;&gt;"",LOWER(TRIM(IFERROR(VLOOKUP(A117,'Cadastro Geral Campistas'!$A:$R,15,0),"")))&lt;&gt;"não",LOWER(TRIM(IFERROR(VLOOKUP(A117,'Cadastro Geral Campistas'!$A:$R,15,0),"")))&lt;&gt;"nao",LOWER(TRIM(IFERROR(VLOOKUP(A117,'Cadastro Geral Campistas'!$A:$R,15,0),"")))&lt;&gt;"0"),"Alergia: "&amp;IFERROR(VLOOKUP(A117,'Cadastro Geral Campistas'!$A:$R,15,0),""),""))))</f>
        <v/>
      </c>
      <c r="J117" s="76" t="str">
        <f>IFERROR(VLOOKUP(A117,'Cadastro Geral Campistas'!$A:$R,4,0),"")</f>
        <v>F</v>
      </c>
    </row>
    <row r="118" spans="1:10" ht="18" customHeight="1" x14ac:dyDescent="0.55000000000000004">
      <c r="A118" s="57">
        <v>99</v>
      </c>
      <c r="B118" s="7" t="str">
        <f>IFERROR(VLOOKUP(A118,'Cadastro Geral Campistas'!$A:$R,2,0),"")</f>
        <v>Maria Eduarda Resende Santos</v>
      </c>
      <c r="C118" s="6">
        <f>IFERROR(VLOOKUP(A118,'Cadastro Geral Campistas'!$A:$R,5,0),"")</f>
        <v>53</v>
      </c>
      <c r="D118" s="6">
        <f>IFERROR(VLOOKUP(A118,'Cadastro Geral Campistas'!$A:$R,6,0),"")</f>
        <v>1.6</v>
      </c>
      <c r="E118" s="6">
        <f>IFERROR(VLOOKUP(A118,'Cadastro Geral Campistas'!$A:$R,7,0),"")</f>
        <v>22</v>
      </c>
      <c r="F118" s="7" t="str">
        <f>IFERROR(VLOOKUP(A118,'Cadastro Geral Campistas'!$A:$R,9,0),"")</f>
        <v>Goiânia</v>
      </c>
      <c r="G118" s="6" t="str">
        <f>IFERROR(VLOOKUP(A118,'Cadastro Geral Campistas'!$A:$R,3,0),"")</f>
        <v>P</v>
      </c>
      <c r="H118" s="7" t="str">
        <f>IFERROR(VLOOKUP(A118,'Cadastro Geral Campistas'!$A:$R,8,0),"")</f>
        <v>+55 (62) 99958-6468</v>
      </c>
      <c r="I118" s="101" t="str">
        <f>IF(AND(IFERROR(VLOOKUP(A118,'Cadastro Geral Campistas'!$A:$R,18,0),0)&gt;0,COUNTIF($A$114:$A$129,IFERROR(VLOOKUP(A118,'Cadastro Geral Campistas'!$A:$R,18,0),0))&gt;0),"⚠️ CONFLITO! Cônjuge na mesma tribo: "&amp;IFERROR(VLOOKUP(IFERROR(VLOOKUP(A118,'Cadastro Geral Campistas'!$A:$R,18,0),0),'Cadastro Geral Campistas'!$A:$R,2,""),""),TRIM(IF(AND(IFERROR(VLOOKUP(A118,'Cadastro Geral Campistas'!$A:$R,10,0),"")&lt;&gt;"",LOWER(TRIM(IFERROR(VLOOKUP(A118,'Cadastro Geral Campistas'!$A:$R,10,0),"")))&lt;&gt;"não",LOWER(TRIM(IFERROR(VLOOKUP(A118,'Cadastro Geral Campistas'!$A:$R,10,0),"")))&lt;&gt;"nao",LOWER(TRIM(IFERROR(VLOOKUP(A118,'Cadastro Geral Campistas'!$A:$R,10,0),"")))&lt;&gt;"0"),IFERROR(VLOOKUP(A118,'Cadastro Geral Campistas'!$A:$R,10,0),"")&amp;IF(AND(IFERROR(VLOOKUP(A118,'Cadastro Geral Campistas'!$A:$R,15,0),"")&lt;&gt;"",LOWER(TRIM(IFERROR(VLOOKUP(A118,'Cadastro Geral Campistas'!$A:$R,15,0),"")))&lt;&gt;"não",LOWER(TRIM(IFERROR(VLOOKUP(A118,'Cadastro Geral Campistas'!$A:$R,15,0),"")))&lt;&gt;"nao",LOWER(TRIM(IFERROR(VLOOKUP(A118,'Cadastro Geral Campistas'!$A:$R,15,0),"")))&lt;&gt;"0")," | Alergia: "&amp;IFERROR(VLOOKUP(A118,'Cadastro Geral Campistas'!$A:$R,15,0),""),""),IF(AND(IFERROR(VLOOKUP(A118,'Cadastro Geral Campistas'!$A:$R,15,0),"")&lt;&gt;"",LOWER(TRIM(IFERROR(VLOOKUP(A118,'Cadastro Geral Campistas'!$A:$R,15,0),"")))&lt;&gt;"não",LOWER(TRIM(IFERROR(VLOOKUP(A118,'Cadastro Geral Campistas'!$A:$R,15,0),"")))&lt;&gt;"nao",LOWER(TRIM(IFERROR(VLOOKUP(A118,'Cadastro Geral Campistas'!$A:$R,15,0),"")))&lt;&gt;"0"),"Alergia: "&amp;IFERROR(VLOOKUP(A118,'Cadastro Geral Campistas'!$A:$R,15,0),""),""))))</f>
        <v/>
      </c>
      <c r="J118" s="58" t="str">
        <f>IFERROR(VLOOKUP(A118,'Cadastro Geral Campistas'!$A:$R,4,0),"")</f>
        <v>F</v>
      </c>
    </row>
    <row r="119" spans="1:10" ht="18" customHeight="1" x14ac:dyDescent="0.55000000000000004">
      <c r="A119" s="75">
        <v>124</v>
      </c>
      <c r="B119" s="28" t="str">
        <f>IFERROR(VLOOKUP(A119,'Cadastro Geral Campistas'!$A:$R,2,0),"")</f>
        <v>Symonne Araújo Brandão de Paula</v>
      </c>
      <c r="C119" s="29">
        <f>IFERROR(VLOOKUP(A119,'Cadastro Geral Campistas'!$A:$R,5,0),"")</f>
        <v>0</v>
      </c>
      <c r="D119" s="29">
        <f>IFERROR(VLOOKUP(A119,'Cadastro Geral Campistas'!$A:$R,6,0),"")</f>
        <v>1.59</v>
      </c>
      <c r="E119" s="29">
        <f>IFERROR(VLOOKUP(A119,'Cadastro Geral Campistas'!$A:$R,7,0),"")</f>
        <v>53</v>
      </c>
      <c r="F119" s="28" t="str">
        <f>IFERROR(VLOOKUP(A119,'Cadastro Geral Campistas'!$A:$R,9,0),"")</f>
        <v>Goiânia</v>
      </c>
      <c r="G119" s="29" t="str">
        <f>IFERROR(VLOOKUP(A119,'Cadastro Geral Campistas'!$A:$R,3,0),"")</f>
        <v>M</v>
      </c>
      <c r="H119" s="28" t="str">
        <f>IFERROR(VLOOKUP(A119,'Cadastro Geral Campistas'!$A:$R,8,0),"")</f>
        <v>+55 (62) 99614-3634</v>
      </c>
      <c r="I119" s="108" t="str">
        <f>IF(AND(IFERROR(VLOOKUP(A119,'Cadastro Geral Campistas'!$A:$R,18,0),0)&gt;0,COUNTIF($A$114:$A$129,IFERROR(VLOOKUP(A119,'Cadastro Geral Campistas'!$A:$R,18,0),0))&gt;0),"⚠️ CONFLITO! Cônjuge na mesma tribo: "&amp;IFERROR(VLOOKUP(IFERROR(VLOOKUP(A119,'Cadastro Geral Campistas'!$A:$R,18,0),0),'Cadastro Geral Campistas'!$A:$R,2,""),""),TRIM(IF(AND(IFERROR(VLOOKUP(A119,'Cadastro Geral Campistas'!$A:$R,10,0),"")&lt;&gt;"",LOWER(TRIM(IFERROR(VLOOKUP(A119,'Cadastro Geral Campistas'!$A:$R,10,0),"")))&lt;&gt;"não",LOWER(TRIM(IFERROR(VLOOKUP(A119,'Cadastro Geral Campistas'!$A:$R,10,0),"")))&lt;&gt;"nao",LOWER(TRIM(IFERROR(VLOOKUP(A119,'Cadastro Geral Campistas'!$A:$R,10,0),"")))&lt;&gt;"0"),IFERROR(VLOOKUP(A119,'Cadastro Geral Campistas'!$A:$R,10,0),"")&amp;IF(AND(IFERROR(VLOOKUP(A119,'Cadastro Geral Campistas'!$A:$R,15,0),"")&lt;&gt;"",LOWER(TRIM(IFERROR(VLOOKUP(A119,'Cadastro Geral Campistas'!$A:$R,15,0),"")))&lt;&gt;"não",LOWER(TRIM(IFERROR(VLOOKUP(A119,'Cadastro Geral Campistas'!$A:$R,15,0),"")))&lt;&gt;"nao",LOWER(TRIM(IFERROR(VLOOKUP(A119,'Cadastro Geral Campistas'!$A:$R,15,0),"")))&lt;&gt;"0")," | Alergia: "&amp;IFERROR(VLOOKUP(A119,'Cadastro Geral Campistas'!$A:$R,15,0),""),""),IF(AND(IFERROR(VLOOKUP(A119,'Cadastro Geral Campistas'!$A:$R,15,0),"")&lt;&gt;"",LOWER(TRIM(IFERROR(VLOOKUP(A119,'Cadastro Geral Campistas'!$A:$R,15,0),"")))&lt;&gt;"não",LOWER(TRIM(IFERROR(VLOOKUP(A119,'Cadastro Geral Campistas'!$A:$R,15,0),"")))&lt;&gt;"nao",LOWER(TRIM(IFERROR(VLOOKUP(A119,'Cadastro Geral Campistas'!$A:$R,15,0),"")))&lt;&gt;"0"),"Alergia: "&amp;IFERROR(VLOOKUP(A119,'Cadastro Geral Campistas'!$A:$R,15,0),""),""))))</f>
        <v>Felipe Carvalho e Vanessa Samara | Alergia: Medicamento Sulfa</v>
      </c>
      <c r="J119" s="76" t="str">
        <f>IFERROR(VLOOKUP(A119,'Cadastro Geral Campistas'!$A:$R,4,0),"")</f>
        <v>F</v>
      </c>
    </row>
    <row r="120" spans="1:10" ht="18" customHeight="1" x14ac:dyDescent="0.55000000000000004">
      <c r="A120" s="57">
        <v>125</v>
      </c>
      <c r="B120" s="7" t="str">
        <f>IFERROR(VLOOKUP(A120,'Cadastro Geral Campistas'!$A:$R,2,0),"")</f>
        <v>Tatiana Franco dos Santos</v>
      </c>
      <c r="C120" s="6">
        <f>IFERROR(VLOOKUP(A120,'Cadastro Geral Campistas'!$A:$R,5,0),"")</f>
        <v>68</v>
      </c>
      <c r="D120" s="6">
        <f>IFERROR(VLOOKUP(A120,'Cadastro Geral Campistas'!$A:$R,6,0),"")</f>
        <v>0</v>
      </c>
      <c r="E120" s="6">
        <f>IFERROR(VLOOKUP(A120,'Cadastro Geral Campistas'!$A:$R,7,0),"")</f>
        <v>40</v>
      </c>
      <c r="F120" s="7" t="str">
        <f>IFERROR(VLOOKUP(A120,'Cadastro Geral Campistas'!$A:$R,9,0),"")</f>
        <v>Goiânia</v>
      </c>
      <c r="G120" s="6" t="str">
        <f>IFERROR(VLOOKUP(A120,'Cadastro Geral Campistas'!$A:$R,3,0),"")</f>
        <v>M</v>
      </c>
      <c r="H120" s="7" t="str">
        <f>IFERROR(VLOOKUP(A120,'Cadastro Geral Campistas'!$A:$R,8,0),"")</f>
        <v>+55 (62) 98285-0337</v>
      </c>
      <c r="I120" s="101" t="str">
        <f>IF(AND(IFERROR(VLOOKUP(A120,'Cadastro Geral Campistas'!$A:$R,18,0),0)&gt;0,COUNTIF($A$114:$A$129,IFERROR(VLOOKUP(A120,'Cadastro Geral Campistas'!$A:$R,18,0),0))&gt;0),"⚠️ CONFLITO! Cônjuge na mesma tribo: "&amp;IFERROR(VLOOKUP(IFERROR(VLOOKUP(A120,'Cadastro Geral Campistas'!$A:$R,18,0),0),'Cadastro Geral Campistas'!$A:$R,2,""),""),TRIM(IF(AND(IFERROR(VLOOKUP(A120,'Cadastro Geral Campistas'!$A:$R,10,0),"")&lt;&gt;"",LOWER(TRIM(IFERROR(VLOOKUP(A120,'Cadastro Geral Campistas'!$A:$R,10,0),"")))&lt;&gt;"não",LOWER(TRIM(IFERROR(VLOOKUP(A120,'Cadastro Geral Campistas'!$A:$R,10,0),"")))&lt;&gt;"nao",LOWER(TRIM(IFERROR(VLOOKUP(A120,'Cadastro Geral Campistas'!$A:$R,10,0),"")))&lt;&gt;"0"),IFERROR(VLOOKUP(A120,'Cadastro Geral Campistas'!$A:$R,10,0),"")&amp;IF(AND(IFERROR(VLOOKUP(A120,'Cadastro Geral Campistas'!$A:$R,15,0),"")&lt;&gt;"",LOWER(TRIM(IFERROR(VLOOKUP(A120,'Cadastro Geral Campistas'!$A:$R,15,0),"")))&lt;&gt;"não",LOWER(TRIM(IFERROR(VLOOKUP(A120,'Cadastro Geral Campistas'!$A:$R,15,0),"")))&lt;&gt;"nao",LOWER(TRIM(IFERROR(VLOOKUP(A120,'Cadastro Geral Campistas'!$A:$R,15,0),"")))&lt;&gt;"0")," | Alergia: "&amp;IFERROR(VLOOKUP(A120,'Cadastro Geral Campistas'!$A:$R,15,0),""),""),IF(AND(IFERROR(VLOOKUP(A120,'Cadastro Geral Campistas'!$A:$R,15,0),"")&lt;&gt;"",LOWER(TRIM(IFERROR(VLOOKUP(A120,'Cadastro Geral Campistas'!$A:$R,15,0),"")))&lt;&gt;"não",LOWER(TRIM(IFERROR(VLOOKUP(A120,'Cadastro Geral Campistas'!$A:$R,15,0),"")))&lt;&gt;"nao",LOWER(TRIM(IFERROR(VLOOKUP(A120,'Cadastro Geral Campistas'!$A:$R,15,0),"")))&lt;&gt;"0"),"Alergia: "&amp;IFERROR(VLOOKUP(A120,'Cadastro Geral Campistas'!$A:$R,15,0),""),""))))</f>
        <v>Alergia: Sim, alergia de pelo, mofo e poeira.</v>
      </c>
      <c r="J120" s="58" t="str">
        <f>IFERROR(VLOOKUP(A120,'Cadastro Geral Campistas'!$A:$R,4,0),"")</f>
        <v>F</v>
      </c>
    </row>
    <row r="121" spans="1:10" ht="18" customHeight="1" x14ac:dyDescent="0.55000000000000004">
      <c r="A121" s="75">
        <v>138</v>
      </c>
      <c r="B121" s="28" t="str">
        <f>IFERROR(VLOOKUP(A121,'Cadastro Geral Campistas'!$A:$R,2,0),"")</f>
        <v>Wanessa morais Neri</v>
      </c>
      <c r="C121" s="29">
        <f>IFERROR(VLOOKUP(A121,'Cadastro Geral Campistas'!$A:$R,5,0),"")</f>
        <v>73</v>
      </c>
      <c r="D121" s="29">
        <f>IFERROR(VLOOKUP(A121,'Cadastro Geral Campistas'!$A:$R,6,0),"")</f>
        <v>1.67</v>
      </c>
      <c r="E121" s="29">
        <f>IFERROR(VLOOKUP(A121,'Cadastro Geral Campistas'!$A:$R,7,0),"")</f>
        <v>43</v>
      </c>
      <c r="F121" s="28" t="str">
        <f>IFERROR(VLOOKUP(A121,'Cadastro Geral Campistas'!$A:$R,9,0),"")</f>
        <v>Goiania</v>
      </c>
      <c r="G121" s="29" t="str">
        <f>IFERROR(VLOOKUP(A121,'Cadastro Geral Campistas'!$A:$R,3,0),"")</f>
        <v>M</v>
      </c>
      <c r="H121" s="28" t="str">
        <f>IFERROR(VLOOKUP(A121,'Cadastro Geral Campistas'!$A:$R,8,0),"")</f>
        <v>+55 (62) 98147-2366</v>
      </c>
      <c r="I121" s="108" t="str">
        <f>IF(AND(IFERROR(VLOOKUP(A121,'Cadastro Geral Campistas'!$A:$R,18,0),0)&gt;0,COUNTIF($A$114:$A$129,IFERROR(VLOOKUP(A121,'Cadastro Geral Campistas'!$A:$R,18,0),0))&gt;0),"⚠️ CONFLITO! Cônjuge na mesma tribo: "&amp;IFERROR(VLOOKUP(IFERROR(VLOOKUP(A121,'Cadastro Geral Campistas'!$A:$R,18,0),0),'Cadastro Geral Campistas'!$A:$R,2,""),""),TRIM(IF(AND(IFERROR(VLOOKUP(A121,'Cadastro Geral Campistas'!$A:$R,10,0),"")&lt;&gt;"",LOWER(TRIM(IFERROR(VLOOKUP(A121,'Cadastro Geral Campistas'!$A:$R,10,0),"")))&lt;&gt;"não",LOWER(TRIM(IFERROR(VLOOKUP(A121,'Cadastro Geral Campistas'!$A:$R,10,0),"")))&lt;&gt;"nao",LOWER(TRIM(IFERROR(VLOOKUP(A121,'Cadastro Geral Campistas'!$A:$R,10,0),"")))&lt;&gt;"0"),IFERROR(VLOOKUP(A121,'Cadastro Geral Campistas'!$A:$R,10,0),"")&amp;IF(AND(IFERROR(VLOOKUP(A121,'Cadastro Geral Campistas'!$A:$R,15,0),"")&lt;&gt;"",LOWER(TRIM(IFERROR(VLOOKUP(A121,'Cadastro Geral Campistas'!$A:$R,15,0),"")))&lt;&gt;"não",LOWER(TRIM(IFERROR(VLOOKUP(A121,'Cadastro Geral Campistas'!$A:$R,15,0),"")))&lt;&gt;"nao",LOWER(TRIM(IFERROR(VLOOKUP(A121,'Cadastro Geral Campistas'!$A:$R,15,0),"")))&lt;&gt;"0")," | Alergia: "&amp;IFERROR(VLOOKUP(A121,'Cadastro Geral Campistas'!$A:$R,15,0),""),""),IF(AND(IFERROR(VLOOKUP(A121,'Cadastro Geral Campistas'!$A:$R,15,0),"")&lt;&gt;"",LOWER(TRIM(IFERROR(VLOOKUP(A121,'Cadastro Geral Campistas'!$A:$R,15,0),"")))&lt;&gt;"não",LOWER(TRIM(IFERROR(VLOOKUP(A121,'Cadastro Geral Campistas'!$A:$R,15,0),"")))&lt;&gt;"nao",LOWER(TRIM(IFERROR(VLOOKUP(A121,'Cadastro Geral Campistas'!$A:$R,15,0),"")))&lt;&gt;"0"),"Alergia: "&amp;IFERROR(VLOOKUP(A121,'Cadastro Geral Campistas'!$A:$R,15,0),""),""))))</f>
        <v/>
      </c>
      <c r="J121" s="76" t="str">
        <f>IFERROR(VLOOKUP(A121,'Cadastro Geral Campistas'!$A:$R,4,0),"")</f>
        <v>F</v>
      </c>
    </row>
    <row r="122" spans="1:10" ht="18" customHeight="1" x14ac:dyDescent="0.55000000000000004">
      <c r="A122" s="55">
        <v>3</v>
      </c>
      <c r="B122" s="3" t="str">
        <f>IFERROR(VLOOKUP(A122,'Cadastro Geral Campistas'!$A:$R,2,0),"")</f>
        <v>Aires Silva</v>
      </c>
      <c r="C122" s="2">
        <f>IFERROR(VLOOKUP(A122,'Cadastro Geral Campistas'!$A:$R,5,0),"")</f>
        <v>82</v>
      </c>
      <c r="D122" s="2">
        <f>IFERROR(VLOOKUP(A122,'Cadastro Geral Campistas'!$A:$R,6,0),"")</f>
        <v>1.75</v>
      </c>
      <c r="E122" s="2">
        <f>IFERROR(VLOOKUP(A122,'Cadastro Geral Campistas'!$A:$R,7,0),"")</f>
        <v>62</v>
      </c>
      <c r="F122" s="3" t="str">
        <f>IFERROR(VLOOKUP(A122,'Cadastro Geral Campistas'!$A:$R,9,0),"")</f>
        <v>Goiânia</v>
      </c>
      <c r="G122" s="2" t="str">
        <f>IFERROR(VLOOKUP(A122,'Cadastro Geral Campistas'!$A:$R,3,0),"")</f>
        <v>G</v>
      </c>
      <c r="H122" s="3" t="str">
        <f>IFERROR(VLOOKUP(A122,'Cadastro Geral Campistas'!$A:$R,8,0),"")</f>
        <v>+55 (62) 99159-4335</v>
      </c>
      <c r="I122" s="103" t="str">
        <f>IF(AND(IFERROR(VLOOKUP(A122,'Cadastro Geral Campistas'!$A:$R,18,0),0)&gt;0,COUNTIF($A$114:$A$129,IFERROR(VLOOKUP(A122,'Cadastro Geral Campistas'!$A:$R,18,0),0))&gt;0),"⚠️ CONFLITO! Cônjuge na mesma tribo: "&amp;IFERROR(VLOOKUP(IFERROR(VLOOKUP(A122,'Cadastro Geral Campistas'!$A:$R,18,0),0),'Cadastro Geral Campistas'!$A:$R,2,""),""),TRIM(IF(AND(IFERROR(VLOOKUP(A122,'Cadastro Geral Campistas'!$A:$R,10,0),"")&lt;&gt;"",LOWER(TRIM(IFERROR(VLOOKUP(A122,'Cadastro Geral Campistas'!$A:$R,10,0),"")))&lt;&gt;"não",LOWER(TRIM(IFERROR(VLOOKUP(A122,'Cadastro Geral Campistas'!$A:$R,10,0),"")))&lt;&gt;"nao",LOWER(TRIM(IFERROR(VLOOKUP(A122,'Cadastro Geral Campistas'!$A:$R,10,0),"")))&lt;&gt;"0"),IFERROR(VLOOKUP(A122,'Cadastro Geral Campistas'!$A:$R,10,0),"")&amp;IF(AND(IFERROR(VLOOKUP(A122,'Cadastro Geral Campistas'!$A:$R,15,0),"")&lt;&gt;"",LOWER(TRIM(IFERROR(VLOOKUP(A122,'Cadastro Geral Campistas'!$A:$R,15,0),"")))&lt;&gt;"não",LOWER(TRIM(IFERROR(VLOOKUP(A122,'Cadastro Geral Campistas'!$A:$R,15,0),"")))&lt;&gt;"nao",LOWER(TRIM(IFERROR(VLOOKUP(A122,'Cadastro Geral Campistas'!$A:$R,15,0),"")))&lt;&gt;"0")," | Alergia: "&amp;IFERROR(VLOOKUP(A122,'Cadastro Geral Campistas'!$A:$R,15,0),""),""),IF(AND(IFERROR(VLOOKUP(A122,'Cadastro Geral Campistas'!$A:$R,15,0),"")&lt;&gt;"",LOWER(TRIM(IFERROR(VLOOKUP(A122,'Cadastro Geral Campistas'!$A:$R,15,0),"")))&lt;&gt;"não",LOWER(TRIM(IFERROR(VLOOKUP(A122,'Cadastro Geral Campistas'!$A:$R,15,0),"")))&lt;&gt;"nao",LOWER(TRIM(IFERROR(VLOOKUP(A122,'Cadastro Geral Campistas'!$A:$R,15,0),"")))&lt;&gt;"0"),"Alergia: "&amp;IFERROR(VLOOKUP(A122,'Cadastro Geral Campistas'!$A:$R,15,0),""),""))))</f>
        <v>Sim. Maria Ivone (esposa) | Alergia: Frutos do mar</v>
      </c>
      <c r="J122" s="56" t="str">
        <f>IFERROR(VLOOKUP(A122,'Cadastro Geral Campistas'!$A:$R,4,0),"")</f>
        <v>M</v>
      </c>
    </row>
    <row r="123" spans="1:10" ht="18" customHeight="1" x14ac:dyDescent="0.55000000000000004">
      <c r="A123" s="55">
        <v>21</v>
      </c>
      <c r="B123" s="3" t="str">
        <f>IFERROR(VLOOKUP(A123,'Cadastro Geral Campistas'!$A:$R,2,0),"")</f>
        <v>Carlos Henrique de Souza Dourado</v>
      </c>
      <c r="C123" s="2">
        <f>IFERROR(VLOOKUP(A123,'Cadastro Geral Campistas'!$A:$R,5,0),"")</f>
        <v>100</v>
      </c>
      <c r="D123" s="2">
        <f>IFERROR(VLOOKUP(A123,'Cadastro Geral Campistas'!$A:$R,6,0),"")</f>
        <v>1.79</v>
      </c>
      <c r="E123" s="2">
        <f>IFERROR(VLOOKUP(A123,'Cadastro Geral Campistas'!$A:$R,7,0),"")</f>
        <v>32</v>
      </c>
      <c r="F123" s="3" t="str">
        <f>IFERROR(VLOOKUP(A123,'Cadastro Geral Campistas'!$A:$R,9,0),"")</f>
        <v>Goianira</v>
      </c>
      <c r="G123" s="2" t="str">
        <f>IFERROR(VLOOKUP(A123,'Cadastro Geral Campistas'!$A:$R,3,0),"")</f>
        <v>GG</v>
      </c>
      <c r="H123" s="3" t="str">
        <f>IFERROR(VLOOKUP(A123,'Cadastro Geral Campistas'!$A:$R,8,0),"")</f>
        <v>+55 (62) 99461-5119</v>
      </c>
      <c r="I123" s="103" t="str">
        <f>IF(AND(IFERROR(VLOOKUP(A123,'Cadastro Geral Campistas'!$A:$R,18,0),0)&gt;0,COUNTIF($A$114:$A$129,IFERROR(VLOOKUP(A123,'Cadastro Geral Campistas'!$A:$R,18,0),0))&gt;0),"⚠️ CONFLITO! Cônjuge na mesma tribo: "&amp;IFERROR(VLOOKUP(IFERROR(VLOOKUP(A123,'Cadastro Geral Campistas'!$A:$R,18,0),0),'Cadastro Geral Campistas'!$A:$R,2,""),""),TRIM(IF(AND(IFERROR(VLOOKUP(A123,'Cadastro Geral Campistas'!$A:$R,10,0),"")&lt;&gt;"",LOWER(TRIM(IFERROR(VLOOKUP(A123,'Cadastro Geral Campistas'!$A:$R,10,0),"")))&lt;&gt;"não",LOWER(TRIM(IFERROR(VLOOKUP(A123,'Cadastro Geral Campistas'!$A:$R,10,0),"")))&lt;&gt;"nao",LOWER(TRIM(IFERROR(VLOOKUP(A123,'Cadastro Geral Campistas'!$A:$R,10,0),"")))&lt;&gt;"0"),IFERROR(VLOOKUP(A123,'Cadastro Geral Campistas'!$A:$R,10,0),"")&amp;IF(AND(IFERROR(VLOOKUP(A123,'Cadastro Geral Campistas'!$A:$R,15,0),"")&lt;&gt;"",LOWER(TRIM(IFERROR(VLOOKUP(A123,'Cadastro Geral Campistas'!$A:$R,15,0),"")))&lt;&gt;"não",LOWER(TRIM(IFERROR(VLOOKUP(A123,'Cadastro Geral Campistas'!$A:$R,15,0),"")))&lt;&gt;"nao",LOWER(TRIM(IFERROR(VLOOKUP(A123,'Cadastro Geral Campistas'!$A:$R,15,0),"")))&lt;&gt;"0")," | Alergia: "&amp;IFERROR(VLOOKUP(A123,'Cadastro Geral Campistas'!$A:$R,15,0),""),""),IF(AND(IFERROR(VLOOKUP(A123,'Cadastro Geral Campistas'!$A:$R,15,0),"")&lt;&gt;"",LOWER(TRIM(IFERROR(VLOOKUP(A123,'Cadastro Geral Campistas'!$A:$R,15,0),"")))&lt;&gt;"não",LOWER(TRIM(IFERROR(VLOOKUP(A123,'Cadastro Geral Campistas'!$A:$R,15,0),"")))&lt;&gt;"nao",LOWER(TRIM(IFERROR(VLOOKUP(A123,'Cadastro Geral Campistas'!$A:$R,15,0),"")))&lt;&gt;"0"),"Alergia: "&amp;IFERROR(VLOOKUP(A123,'Cadastro Geral Campistas'!$A:$R,15,0),""),""))))</f>
        <v/>
      </c>
      <c r="J123" s="56" t="str">
        <f>IFERROR(VLOOKUP(A123,'Cadastro Geral Campistas'!$A:$R,4,0),"")</f>
        <v>M</v>
      </c>
    </row>
    <row r="124" spans="1:10" ht="18" customHeight="1" x14ac:dyDescent="0.55000000000000004">
      <c r="A124" s="57">
        <v>30</v>
      </c>
      <c r="B124" s="7" t="str">
        <f>IFERROR(VLOOKUP(A124,'Cadastro Geral Campistas'!$A:$R,2,0),"")</f>
        <v>Diego Francisco dos Santos</v>
      </c>
      <c r="C124" s="6">
        <f>IFERROR(VLOOKUP(A124,'Cadastro Geral Campistas'!$A:$R,5,0),"")</f>
        <v>79</v>
      </c>
      <c r="D124" s="6">
        <f>IFERROR(VLOOKUP(A124,'Cadastro Geral Campistas'!$A:$R,6,0),"")</f>
        <v>1.76</v>
      </c>
      <c r="E124" s="6">
        <f>IFERROR(VLOOKUP(A124,'Cadastro Geral Campistas'!$A:$R,7,0),"")</f>
        <v>31</v>
      </c>
      <c r="F124" s="7" t="str">
        <f>IFERROR(VLOOKUP(A124,'Cadastro Geral Campistas'!$A:$R,9,0),"")</f>
        <v>Goiânia</v>
      </c>
      <c r="G124" s="6" t="str">
        <f>IFERROR(VLOOKUP(A124,'Cadastro Geral Campistas'!$A:$R,3,0),"")</f>
        <v>G</v>
      </c>
      <c r="H124" s="7" t="str">
        <f>IFERROR(VLOOKUP(A124,'Cadastro Geral Campistas'!$A:$R,8,0),"")</f>
        <v>+55 (62) 99201-8512</v>
      </c>
      <c r="I124" s="101" t="str">
        <f>IF(AND(IFERROR(VLOOKUP(A124,'Cadastro Geral Campistas'!$A:$R,18,0),0)&gt;0,COUNTIF($A$114:$A$129,IFERROR(VLOOKUP(A124,'Cadastro Geral Campistas'!$A:$R,18,0),0))&gt;0),"⚠️ CONFLITO! Cônjuge na mesma tribo: "&amp;IFERROR(VLOOKUP(IFERROR(VLOOKUP(A124,'Cadastro Geral Campistas'!$A:$R,18,0),0),'Cadastro Geral Campistas'!$A:$R,2,""),""),TRIM(IF(AND(IFERROR(VLOOKUP(A124,'Cadastro Geral Campistas'!$A:$R,10,0),"")&lt;&gt;"",LOWER(TRIM(IFERROR(VLOOKUP(A124,'Cadastro Geral Campistas'!$A:$R,10,0),"")))&lt;&gt;"não",LOWER(TRIM(IFERROR(VLOOKUP(A124,'Cadastro Geral Campistas'!$A:$R,10,0),"")))&lt;&gt;"nao",LOWER(TRIM(IFERROR(VLOOKUP(A124,'Cadastro Geral Campistas'!$A:$R,10,0),"")))&lt;&gt;"0"),IFERROR(VLOOKUP(A124,'Cadastro Geral Campistas'!$A:$R,10,0),"")&amp;IF(AND(IFERROR(VLOOKUP(A124,'Cadastro Geral Campistas'!$A:$R,15,0),"")&lt;&gt;"",LOWER(TRIM(IFERROR(VLOOKUP(A124,'Cadastro Geral Campistas'!$A:$R,15,0),"")))&lt;&gt;"não",LOWER(TRIM(IFERROR(VLOOKUP(A124,'Cadastro Geral Campistas'!$A:$R,15,0),"")))&lt;&gt;"nao",LOWER(TRIM(IFERROR(VLOOKUP(A124,'Cadastro Geral Campistas'!$A:$R,15,0),"")))&lt;&gt;"0")," | Alergia: "&amp;IFERROR(VLOOKUP(A124,'Cadastro Geral Campistas'!$A:$R,15,0),""),""),IF(AND(IFERROR(VLOOKUP(A124,'Cadastro Geral Campistas'!$A:$R,15,0),"")&lt;&gt;"",LOWER(TRIM(IFERROR(VLOOKUP(A124,'Cadastro Geral Campistas'!$A:$R,15,0),"")))&lt;&gt;"não",LOWER(TRIM(IFERROR(VLOOKUP(A124,'Cadastro Geral Campistas'!$A:$R,15,0),"")))&lt;&gt;"nao",LOWER(TRIM(IFERROR(VLOOKUP(A124,'Cadastro Geral Campistas'!$A:$R,15,0),"")))&lt;&gt;"0"),"Alergia: "&amp;IFERROR(VLOOKUP(A124,'Cadastro Geral Campistas'!$A:$R,15,0),""),""))))</f>
        <v/>
      </c>
      <c r="J124" s="58" t="str">
        <f>IFERROR(VLOOKUP(A124,'Cadastro Geral Campistas'!$A:$R,4,0),"")</f>
        <v>M</v>
      </c>
    </row>
    <row r="125" spans="1:10" ht="18" customHeight="1" x14ac:dyDescent="0.55000000000000004">
      <c r="A125" s="75">
        <v>49</v>
      </c>
      <c r="B125" s="28" t="str">
        <f>IFERROR(VLOOKUP(A125,'Cadastro Geral Campistas'!$A:$R,2,0),"")</f>
        <v>Gabriel Fernandes</v>
      </c>
      <c r="C125" s="29">
        <f>IFERROR(VLOOKUP(A125,'Cadastro Geral Campistas'!$A:$R,5,0),"")</f>
        <v>87</v>
      </c>
      <c r="D125" s="29">
        <f>IFERROR(VLOOKUP(A125,'Cadastro Geral Campistas'!$A:$R,6,0),"")</f>
        <v>1.7</v>
      </c>
      <c r="E125" s="29">
        <f>IFERROR(VLOOKUP(A125,'Cadastro Geral Campistas'!$A:$R,7,0),"")</f>
        <v>25</v>
      </c>
      <c r="F125" s="28" t="str">
        <f>IFERROR(VLOOKUP(A125,'Cadastro Geral Campistas'!$A:$R,9,0),"")</f>
        <v>Aparecida De Goiania</v>
      </c>
      <c r="G125" s="29" t="str">
        <f>IFERROR(VLOOKUP(A125,'Cadastro Geral Campistas'!$A:$R,3,0),"")</f>
        <v>G</v>
      </c>
      <c r="H125" s="28" t="str">
        <f>IFERROR(VLOOKUP(A125,'Cadastro Geral Campistas'!$A:$R,8,0),"")</f>
        <v>+55 (62) 99932-6071</v>
      </c>
      <c r="I125" s="108" t="str">
        <f>IF(AND(IFERROR(VLOOKUP(A125,'Cadastro Geral Campistas'!$A:$R,18,0),0)&gt;0,COUNTIF($A$114:$A$129,IFERROR(VLOOKUP(A125,'Cadastro Geral Campistas'!$A:$R,18,0),0))&gt;0),"⚠️ CONFLITO! Cônjuge na mesma tribo: "&amp;IFERROR(VLOOKUP(IFERROR(VLOOKUP(A125,'Cadastro Geral Campistas'!$A:$R,18,0),0),'Cadastro Geral Campistas'!$A:$R,2,""),""),TRIM(IF(AND(IFERROR(VLOOKUP(A125,'Cadastro Geral Campistas'!$A:$R,10,0),"")&lt;&gt;"",LOWER(TRIM(IFERROR(VLOOKUP(A125,'Cadastro Geral Campistas'!$A:$R,10,0),"")))&lt;&gt;"não",LOWER(TRIM(IFERROR(VLOOKUP(A125,'Cadastro Geral Campistas'!$A:$R,10,0),"")))&lt;&gt;"nao",LOWER(TRIM(IFERROR(VLOOKUP(A125,'Cadastro Geral Campistas'!$A:$R,10,0),"")))&lt;&gt;"0"),IFERROR(VLOOKUP(A125,'Cadastro Geral Campistas'!$A:$R,10,0),"")&amp;IF(AND(IFERROR(VLOOKUP(A125,'Cadastro Geral Campistas'!$A:$R,15,0),"")&lt;&gt;"",LOWER(TRIM(IFERROR(VLOOKUP(A125,'Cadastro Geral Campistas'!$A:$R,15,0),"")))&lt;&gt;"não",LOWER(TRIM(IFERROR(VLOOKUP(A125,'Cadastro Geral Campistas'!$A:$R,15,0),"")))&lt;&gt;"nao",LOWER(TRIM(IFERROR(VLOOKUP(A125,'Cadastro Geral Campistas'!$A:$R,15,0),"")))&lt;&gt;"0")," | Alergia: "&amp;IFERROR(VLOOKUP(A125,'Cadastro Geral Campistas'!$A:$R,15,0),""),""),IF(AND(IFERROR(VLOOKUP(A125,'Cadastro Geral Campistas'!$A:$R,15,0),"")&lt;&gt;"",LOWER(TRIM(IFERROR(VLOOKUP(A125,'Cadastro Geral Campistas'!$A:$R,15,0),"")))&lt;&gt;"não",LOWER(TRIM(IFERROR(VLOOKUP(A125,'Cadastro Geral Campistas'!$A:$R,15,0),"")))&lt;&gt;"nao",LOWER(TRIM(IFERROR(VLOOKUP(A125,'Cadastro Geral Campistas'!$A:$R,15,0),"")))&lt;&gt;"0"),"Alergia: "&amp;IFERROR(VLOOKUP(A125,'Cadastro Geral Campistas'!$A:$R,15,0),""),""))))</f>
        <v/>
      </c>
      <c r="J125" s="76" t="str">
        <f>IFERROR(VLOOKUP(A125,'Cadastro Geral Campistas'!$A:$R,4,0),"")</f>
        <v>M</v>
      </c>
    </row>
    <row r="126" spans="1:10" ht="18" customHeight="1" x14ac:dyDescent="0.55000000000000004">
      <c r="A126" s="57">
        <v>55</v>
      </c>
      <c r="B126" s="7" t="str">
        <f>IFERROR(VLOOKUP(A126,'Cadastro Geral Campistas'!$A:$R,2,0),"")</f>
        <v>HUGO FERNANDO CORREA</v>
      </c>
      <c r="C126" s="6">
        <f>IFERROR(VLOOKUP(A126,'Cadastro Geral Campistas'!$A:$R,5,0),"")</f>
        <v>86</v>
      </c>
      <c r="D126" s="6">
        <f>IFERROR(VLOOKUP(A126,'Cadastro Geral Campistas'!$A:$R,6,0),"")</f>
        <v>1.7</v>
      </c>
      <c r="E126" s="6">
        <f>IFERROR(VLOOKUP(A126,'Cadastro Geral Campistas'!$A:$R,7,0),"")</f>
        <v>34</v>
      </c>
      <c r="F126" s="7" t="str">
        <f>IFERROR(VLOOKUP(A126,'Cadastro Geral Campistas'!$A:$R,9,0),"")</f>
        <v>Goiânia</v>
      </c>
      <c r="G126" s="6" t="str">
        <f>IFERROR(VLOOKUP(A126,'Cadastro Geral Campistas'!$A:$R,3,0),"")</f>
        <v>M</v>
      </c>
      <c r="H126" s="7" t="str">
        <f>IFERROR(VLOOKUP(A126,'Cadastro Geral Campistas'!$A:$R,8,0),"")</f>
        <v>+55 (62) 99205-9211</v>
      </c>
      <c r="I126" s="101" t="str">
        <f>IF(AND(IFERROR(VLOOKUP(A126,'Cadastro Geral Campistas'!$A:$R,18,0),0)&gt;0,COUNTIF($A$114:$A$129,IFERROR(VLOOKUP(A126,'Cadastro Geral Campistas'!$A:$R,18,0),0))&gt;0),"⚠️ CONFLITO! Cônjuge na mesma tribo: "&amp;IFERROR(VLOOKUP(IFERROR(VLOOKUP(A126,'Cadastro Geral Campistas'!$A:$R,18,0),0),'Cadastro Geral Campistas'!$A:$R,2,""),""),TRIM(IF(AND(IFERROR(VLOOKUP(A126,'Cadastro Geral Campistas'!$A:$R,10,0),"")&lt;&gt;"",LOWER(TRIM(IFERROR(VLOOKUP(A126,'Cadastro Geral Campistas'!$A:$R,10,0),"")))&lt;&gt;"não",LOWER(TRIM(IFERROR(VLOOKUP(A126,'Cadastro Geral Campistas'!$A:$R,10,0),"")))&lt;&gt;"nao",LOWER(TRIM(IFERROR(VLOOKUP(A126,'Cadastro Geral Campistas'!$A:$R,10,0),"")))&lt;&gt;"0"),IFERROR(VLOOKUP(A126,'Cadastro Geral Campistas'!$A:$R,10,0),"")&amp;IF(AND(IFERROR(VLOOKUP(A126,'Cadastro Geral Campistas'!$A:$R,15,0),"")&lt;&gt;"",LOWER(TRIM(IFERROR(VLOOKUP(A126,'Cadastro Geral Campistas'!$A:$R,15,0),"")))&lt;&gt;"não",LOWER(TRIM(IFERROR(VLOOKUP(A126,'Cadastro Geral Campistas'!$A:$R,15,0),"")))&lt;&gt;"nao",LOWER(TRIM(IFERROR(VLOOKUP(A126,'Cadastro Geral Campistas'!$A:$R,15,0),"")))&lt;&gt;"0")," | Alergia: "&amp;IFERROR(VLOOKUP(A126,'Cadastro Geral Campistas'!$A:$R,15,0),""),""),IF(AND(IFERROR(VLOOKUP(A126,'Cadastro Geral Campistas'!$A:$R,15,0),"")&lt;&gt;"",LOWER(TRIM(IFERROR(VLOOKUP(A126,'Cadastro Geral Campistas'!$A:$R,15,0),"")))&lt;&gt;"não",LOWER(TRIM(IFERROR(VLOOKUP(A126,'Cadastro Geral Campistas'!$A:$R,15,0),"")))&lt;&gt;"nao",LOWER(TRIM(IFERROR(VLOOKUP(A126,'Cadastro Geral Campistas'!$A:$R,15,0),"")))&lt;&gt;"0"),"Alergia: "&amp;IFERROR(VLOOKUP(A126,'Cadastro Geral Campistas'!$A:$R,15,0),""),""))))</f>
        <v/>
      </c>
      <c r="J126" s="58" t="str">
        <f>IFERROR(VLOOKUP(A126,'Cadastro Geral Campistas'!$A:$R,4,0),"")</f>
        <v>M</v>
      </c>
    </row>
    <row r="127" spans="1:10" ht="18" customHeight="1" x14ac:dyDescent="0.55000000000000004">
      <c r="A127" s="75">
        <v>72</v>
      </c>
      <c r="B127" s="28" t="str">
        <f>IFERROR(VLOOKUP(A127,'Cadastro Geral Campistas'!$A:$R,2,0),"")</f>
        <v>Kauan Henrique de Siqueira Dutra</v>
      </c>
      <c r="C127" s="29">
        <f>IFERROR(VLOOKUP(A127,'Cadastro Geral Campistas'!$A:$R,5,0),"")</f>
        <v>65</v>
      </c>
      <c r="D127" s="29">
        <f>IFERROR(VLOOKUP(A127,'Cadastro Geral Campistas'!$A:$R,6,0),"")</f>
        <v>1.8</v>
      </c>
      <c r="E127" s="29">
        <f>IFERROR(VLOOKUP(A127,'Cadastro Geral Campistas'!$A:$R,7,0),"")</f>
        <v>21</v>
      </c>
      <c r="F127" s="28" t="str">
        <f>IFERROR(VLOOKUP(A127,'Cadastro Geral Campistas'!$A:$R,9,0),"")</f>
        <v>Silvânia-GO</v>
      </c>
      <c r="G127" s="29" t="str">
        <f>IFERROR(VLOOKUP(A127,'Cadastro Geral Campistas'!$A:$R,3,0),"")</f>
        <v>M</v>
      </c>
      <c r="H127" s="28" t="str">
        <f>IFERROR(VLOOKUP(A127,'Cadastro Geral Campistas'!$A:$R,8,0),"")</f>
        <v>+55 (62) 99847-7622</v>
      </c>
      <c r="I127" s="108" t="str">
        <f>IF(AND(IFERROR(VLOOKUP(A127,'Cadastro Geral Campistas'!$A:$R,18,0),0)&gt;0,COUNTIF($A$114:$A$129,IFERROR(VLOOKUP(A127,'Cadastro Geral Campistas'!$A:$R,18,0),0))&gt;0),"⚠️ CONFLITO! Cônjuge na mesma tribo: "&amp;IFERROR(VLOOKUP(IFERROR(VLOOKUP(A127,'Cadastro Geral Campistas'!$A:$R,18,0),0),'Cadastro Geral Campistas'!$A:$R,2,""),""),TRIM(IF(AND(IFERROR(VLOOKUP(A127,'Cadastro Geral Campistas'!$A:$R,10,0),"")&lt;&gt;"",LOWER(TRIM(IFERROR(VLOOKUP(A127,'Cadastro Geral Campistas'!$A:$R,10,0),"")))&lt;&gt;"não",LOWER(TRIM(IFERROR(VLOOKUP(A127,'Cadastro Geral Campistas'!$A:$R,10,0),"")))&lt;&gt;"nao",LOWER(TRIM(IFERROR(VLOOKUP(A127,'Cadastro Geral Campistas'!$A:$R,10,0),"")))&lt;&gt;"0"),IFERROR(VLOOKUP(A127,'Cadastro Geral Campistas'!$A:$R,10,0),"")&amp;IF(AND(IFERROR(VLOOKUP(A127,'Cadastro Geral Campistas'!$A:$R,15,0),"")&lt;&gt;"",LOWER(TRIM(IFERROR(VLOOKUP(A127,'Cadastro Geral Campistas'!$A:$R,15,0),"")))&lt;&gt;"não",LOWER(TRIM(IFERROR(VLOOKUP(A127,'Cadastro Geral Campistas'!$A:$R,15,0),"")))&lt;&gt;"nao",LOWER(TRIM(IFERROR(VLOOKUP(A127,'Cadastro Geral Campistas'!$A:$R,15,0),"")))&lt;&gt;"0")," | Alergia: "&amp;IFERROR(VLOOKUP(A127,'Cadastro Geral Campistas'!$A:$R,15,0),""),""),IF(AND(IFERROR(VLOOKUP(A127,'Cadastro Geral Campistas'!$A:$R,15,0),"")&lt;&gt;"",LOWER(TRIM(IFERROR(VLOOKUP(A127,'Cadastro Geral Campistas'!$A:$R,15,0),"")))&lt;&gt;"não",LOWER(TRIM(IFERROR(VLOOKUP(A127,'Cadastro Geral Campistas'!$A:$R,15,0),"")))&lt;&gt;"nao",LOWER(TRIM(IFERROR(VLOOKUP(A127,'Cadastro Geral Campistas'!$A:$R,15,0),"")))&lt;&gt;"0"),"Alergia: "&amp;IFERROR(VLOOKUP(A127,'Cadastro Geral Campistas'!$A:$R,15,0),""),""))))</f>
        <v/>
      </c>
      <c r="J127" s="76" t="str">
        <f>IFERROR(VLOOKUP(A127,'Cadastro Geral Campistas'!$A:$R,4,0),"")</f>
        <v>M</v>
      </c>
    </row>
    <row r="128" spans="1:10" ht="18" customHeight="1" x14ac:dyDescent="0.55000000000000004">
      <c r="A128" s="57">
        <v>84</v>
      </c>
      <c r="B128" s="7" t="str">
        <f>IFERROR(VLOOKUP(A128,'Cadastro Geral Campistas'!$A:$R,2,0),"")</f>
        <v>LUCIANO FRANCISCO DE OLIVEIRA</v>
      </c>
      <c r="C128" s="6">
        <f>IFERROR(VLOOKUP(A128,'Cadastro Geral Campistas'!$A:$R,5,0),"")</f>
        <v>81</v>
      </c>
      <c r="D128" s="6">
        <f>IFERROR(VLOOKUP(A128,'Cadastro Geral Campistas'!$A:$R,6,0),"")</f>
        <v>1.7</v>
      </c>
      <c r="E128" s="6">
        <f>IFERROR(VLOOKUP(A128,'Cadastro Geral Campistas'!$A:$R,7,0),"")</f>
        <v>48</v>
      </c>
      <c r="F128" s="7" t="str">
        <f>IFERROR(VLOOKUP(A128,'Cadastro Geral Campistas'!$A:$R,9,0),"")</f>
        <v>Goiânia</v>
      </c>
      <c r="G128" s="6" t="str">
        <f>IFERROR(VLOOKUP(A128,'Cadastro Geral Campistas'!$A:$R,3,0),"")</f>
        <v>P</v>
      </c>
      <c r="H128" s="7" t="str">
        <f>IFERROR(VLOOKUP(A128,'Cadastro Geral Campistas'!$A:$R,8,0),"")</f>
        <v>+55 (62) 99181-2068</v>
      </c>
      <c r="I128" s="101" t="str">
        <f>IF(AND(IFERROR(VLOOKUP(A128,'Cadastro Geral Campistas'!$A:$R,18,0),0)&gt;0,COUNTIF($A$114:$A$129,IFERROR(VLOOKUP(A128,'Cadastro Geral Campistas'!$A:$R,18,0),0))&gt;0),"⚠️ CONFLITO! Cônjuge na mesma tribo: "&amp;IFERROR(VLOOKUP(IFERROR(VLOOKUP(A128,'Cadastro Geral Campistas'!$A:$R,18,0),0),'Cadastro Geral Campistas'!$A:$R,2,""),""),TRIM(IF(AND(IFERROR(VLOOKUP(A128,'Cadastro Geral Campistas'!$A:$R,10,0),"")&lt;&gt;"",LOWER(TRIM(IFERROR(VLOOKUP(A128,'Cadastro Geral Campistas'!$A:$R,10,0),"")))&lt;&gt;"não",LOWER(TRIM(IFERROR(VLOOKUP(A128,'Cadastro Geral Campistas'!$A:$R,10,0),"")))&lt;&gt;"nao",LOWER(TRIM(IFERROR(VLOOKUP(A128,'Cadastro Geral Campistas'!$A:$R,10,0),"")))&lt;&gt;"0"),IFERROR(VLOOKUP(A128,'Cadastro Geral Campistas'!$A:$R,10,0),"")&amp;IF(AND(IFERROR(VLOOKUP(A128,'Cadastro Geral Campistas'!$A:$R,15,0),"")&lt;&gt;"",LOWER(TRIM(IFERROR(VLOOKUP(A128,'Cadastro Geral Campistas'!$A:$R,15,0),"")))&lt;&gt;"não",LOWER(TRIM(IFERROR(VLOOKUP(A128,'Cadastro Geral Campistas'!$A:$R,15,0),"")))&lt;&gt;"nao",LOWER(TRIM(IFERROR(VLOOKUP(A128,'Cadastro Geral Campistas'!$A:$R,15,0),"")))&lt;&gt;"0")," | Alergia: "&amp;IFERROR(VLOOKUP(A128,'Cadastro Geral Campistas'!$A:$R,15,0),""),""),IF(AND(IFERROR(VLOOKUP(A128,'Cadastro Geral Campistas'!$A:$R,15,0),"")&lt;&gt;"",LOWER(TRIM(IFERROR(VLOOKUP(A128,'Cadastro Geral Campistas'!$A:$R,15,0),"")))&lt;&gt;"não",LOWER(TRIM(IFERROR(VLOOKUP(A128,'Cadastro Geral Campistas'!$A:$R,15,0),"")))&lt;&gt;"nao",LOWER(TRIM(IFERROR(VLOOKUP(A128,'Cadastro Geral Campistas'!$A:$R,15,0),"")))&lt;&gt;"0"),"Alergia: "&amp;IFERROR(VLOOKUP(A128,'Cadastro Geral Campistas'!$A:$R,15,0),""),""))))</f>
        <v/>
      </c>
      <c r="J128" s="58" t="str">
        <f>IFERROR(VLOOKUP(A128,'Cadastro Geral Campistas'!$A:$R,4,0),"")</f>
        <v>M</v>
      </c>
    </row>
    <row r="129" spans="1:10" ht="18" customHeight="1" x14ac:dyDescent="0.55000000000000004">
      <c r="A129" s="75">
        <v>120</v>
      </c>
      <c r="B129" s="28" t="str">
        <f>IFERROR(VLOOKUP(A129,'Cadastro Geral Campistas'!$A:$R,2,0),"")</f>
        <v>Raul Ganassini</v>
      </c>
      <c r="C129" s="29">
        <f>IFERROR(VLOOKUP(A129,'Cadastro Geral Campistas'!$A:$R,5,0),"")</f>
        <v>118</v>
      </c>
      <c r="D129" s="29">
        <f>IFERROR(VLOOKUP(A129,'Cadastro Geral Campistas'!$A:$R,6,0),"")</f>
        <v>1.79</v>
      </c>
      <c r="E129" s="29">
        <f>IFERROR(VLOOKUP(A129,'Cadastro Geral Campistas'!$A:$R,7,0),"")</f>
        <v>33</v>
      </c>
      <c r="F129" s="28" t="str">
        <f>IFERROR(VLOOKUP(A129,'Cadastro Geral Campistas'!$A:$R,9,0),"")</f>
        <v>Canarana</v>
      </c>
      <c r="G129" s="29" t="str">
        <f>IFERROR(VLOOKUP(A129,'Cadastro Geral Campistas'!$A:$R,3,0),"")</f>
        <v>GG1</v>
      </c>
      <c r="H129" s="28" t="str">
        <f>IFERROR(VLOOKUP(A129,'Cadastro Geral Campistas'!$A:$R,8,0),"")</f>
        <v>+55 (66) 98446-8785</v>
      </c>
      <c r="I129" s="108" t="str">
        <f>IF(AND(IFERROR(VLOOKUP(A129,'Cadastro Geral Campistas'!$A:$R,18,0),0)&gt;0,COUNTIF($A$114:$A$129,IFERROR(VLOOKUP(A129,'Cadastro Geral Campistas'!$A:$R,18,0),0))&gt;0),"⚠️ CONFLITO! Cônjuge na mesma tribo: "&amp;IFERROR(VLOOKUP(IFERROR(VLOOKUP(A129,'Cadastro Geral Campistas'!$A:$R,18,0),0),'Cadastro Geral Campistas'!$A:$R,2,""),""),TRIM(IF(AND(IFERROR(VLOOKUP(A129,'Cadastro Geral Campistas'!$A:$R,10,0),"")&lt;&gt;"",LOWER(TRIM(IFERROR(VLOOKUP(A129,'Cadastro Geral Campistas'!$A:$R,10,0),"")))&lt;&gt;"não",LOWER(TRIM(IFERROR(VLOOKUP(A129,'Cadastro Geral Campistas'!$A:$R,10,0),"")))&lt;&gt;"nao",LOWER(TRIM(IFERROR(VLOOKUP(A129,'Cadastro Geral Campistas'!$A:$R,10,0),"")))&lt;&gt;"0"),IFERROR(VLOOKUP(A129,'Cadastro Geral Campistas'!$A:$R,10,0),"")&amp;IF(AND(IFERROR(VLOOKUP(A129,'Cadastro Geral Campistas'!$A:$R,15,0),"")&lt;&gt;"",LOWER(TRIM(IFERROR(VLOOKUP(A129,'Cadastro Geral Campistas'!$A:$R,15,0),"")))&lt;&gt;"não",LOWER(TRIM(IFERROR(VLOOKUP(A129,'Cadastro Geral Campistas'!$A:$R,15,0),"")))&lt;&gt;"nao",LOWER(TRIM(IFERROR(VLOOKUP(A129,'Cadastro Geral Campistas'!$A:$R,15,0),"")))&lt;&gt;"0")," | Alergia: "&amp;IFERROR(VLOOKUP(A129,'Cadastro Geral Campistas'!$A:$R,15,0),""),""),IF(AND(IFERROR(VLOOKUP(A129,'Cadastro Geral Campistas'!$A:$R,15,0),"")&lt;&gt;"",LOWER(TRIM(IFERROR(VLOOKUP(A129,'Cadastro Geral Campistas'!$A:$R,15,0),"")))&lt;&gt;"não",LOWER(TRIM(IFERROR(VLOOKUP(A129,'Cadastro Geral Campistas'!$A:$R,15,0),"")))&lt;&gt;"nao",LOWER(TRIM(IFERROR(VLOOKUP(A129,'Cadastro Geral Campistas'!$A:$R,15,0),"")))&lt;&gt;"0"),"Alergia: "&amp;IFERROR(VLOOKUP(A129,'Cadastro Geral Campistas'!$A:$R,15,0),""),""))))</f>
        <v>Sim minha esposa Bruna</v>
      </c>
      <c r="J129" s="76" t="str">
        <f>IFERROR(VLOOKUP(A129,'Cadastro Geral Campistas'!$A:$R,4,0),"")</f>
        <v>M</v>
      </c>
    </row>
    <row r="130" spans="1:10" x14ac:dyDescent="0.55000000000000004">
      <c r="A130" s="61" t="s">
        <v>17</v>
      </c>
      <c r="B130" s="20"/>
      <c r="C130" s="20">
        <f>IFERROR(ROUND(AVERAGE(C114:C129),1),"")</f>
        <v>74.099999999999994</v>
      </c>
      <c r="D130" s="20"/>
      <c r="E130" s="20">
        <f>IFERROR(ROUND(AVERAGE(E114:E129),1),"")</f>
        <v>37.5</v>
      </c>
      <c r="F130" s="116"/>
      <c r="G130" s="104"/>
      <c r="H130" s="104"/>
      <c r="I130" s="126" t="str">
        <f>COUNTIF(J114:J129,"F")&amp;"  F    |    "&amp;COUNTIF(J114:J129,"M")&amp;"  M"</f>
        <v>8  F    |    8  M</v>
      </c>
      <c r="J130" s="127"/>
    </row>
    <row r="131" spans="1:10" x14ac:dyDescent="0.55000000000000004">
      <c r="A131" s="118"/>
      <c r="B131" s="119"/>
      <c r="C131" s="119"/>
      <c r="D131" s="119"/>
      <c r="E131" s="119"/>
      <c r="F131" s="119"/>
      <c r="G131" s="119"/>
      <c r="H131" s="119"/>
      <c r="I131" s="138" t="s">
        <v>18</v>
      </c>
      <c r="J131" s="131"/>
    </row>
    <row r="132" spans="1:10" x14ac:dyDescent="0.55000000000000004">
      <c r="A132" s="120"/>
      <c r="B132" s="121"/>
      <c r="C132" s="121"/>
      <c r="D132" s="121"/>
      <c r="E132" s="121"/>
      <c r="F132" s="121"/>
      <c r="G132" s="121"/>
      <c r="H132" s="121"/>
      <c r="I132" s="124" t="s">
        <v>61</v>
      </c>
      <c r="J132" s="125"/>
    </row>
    <row r="133" spans="1:10" x14ac:dyDescent="0.55000000000000004">
      <c r="A133" s="120"/>
      <c r="B133" s="121"/>
      <c r="C133" s="121"/>
      <c r="D133" s="121"/>
      <c r="E133" s="121"/>
      <c r="F133" s="121"/>
      <c r="G133" s="121"/>
      <c r="H133" s="121"/>
      <c r="I133" s="124" t="s">
        <v>62</v>
      </c>
      <c r="J133" s="125"/>
    </row>
    <row r="134" spans="1:10" x14ac:dyDescent="0.55000000000000004">
      <c r="A134" s="120"/>
      <c r="B134" s="121"/>
      <c r="C134" s="121"/>
      <c r="D134" s="121"/>
      <c r="E134" s="121"/>
      <c r="F134" s="121"/>
      <c r="G134" s="121"/>
      <c r="H134" s="121"/>
      <c r="I134" s="124" t="s">
        <v>63</v>
      </c>
      <c r="J134" s="125"/>
    </row>
    <row r="135" spans="1:10" x14ac:dyDescent="0.55000000000000004">
      <c r="A135" s="120"/>
      <c r="B135" s="121"/>
      <c r="C135" s="121"/>
      <c r="D135" s="121"/>
      <c r="E135" s="121"/>
      <c r="F135" s="121"/>
      <c r="G135" s="121"/>
      <c r="H135" s="121"/>
      <c r="I135" s="124" t="s">
        <v>64</v>
      </c>
      <c r="J135" s="125"/>
    </row>
    <row r="136" spans="1:10" x14ac:dyDescent="0.55000000000000004">
      <c r="A136" s="120"/>
      <c r="B136" s="121"/>
      <c r="C136" s="121"/>
      <c r="D136" s="121"/>
      <c r="E136" s="121"/>
      <c r="F136" s="121"/>
      <c r="G136" s="121"/>
      <c r="H136" s="121"/>
      <c r="I136" s="124" t="s">
        <v>65</v>
      </c>
      <c r="J136" s="125"/>
    </row>
    <row r="137" spans="1:10" x14ac:dyDescent="0.55000000000000004">
      <c r="A137" s="120"/>
      <c r="B137" s="121"/>
      <c r="C137" s="121"/>
      <c r="D137" s="121"/>
      <c r="E137" s="121"/>
      <c r="F137" s="121"/>
      <c r="G137" s="121"/>
      <c r="H137" s="121"/>
      <c r="I137" s="124" t="s">
        <v>66</v>
      </c>
      <c r="J137" s="125"/>
    </row>
    <row r="138" spans="1:10" x14ac:dyDescent="0.55000000000000004">
      <c r="A138" s="120"/>
      <c r="B138" s="121"/>
      <c r="C138" s="121"/>
      <c r="D138" s="121"/>
      <c r="E138" s="121"/>
      <c r="F138" s="121"/>
      <c r="G138" s="121"/>
      <c r="H138" s="121"/>
      <c r="I138" s="124" t="s">
        <v>67</v>
      </c>
      <c r="J138" s="125"/>
    </row>
    <row r="139" spans="1:10" x14ac:dyDescent="0.55000000000000004">
      <c r="A139" s="120"/>
      <c r="B139" s="121"/>
      <c r="C139" s="121"/>
      <c r="D139" s="121"/>
      <c r="E139" s="121"/>
      <c r="F139" s="121"/>
      <c r="G139" s="121"/>
      <c r="H139" s="121"/>
      <c r="I139" s="124" t="s">
        <v>68</v>
      </c>
      <c r="J139" s="125"/>
    </row>
    <row r="140" spans="1:10" ht="14.7" customHeight="1" thickBot="1" x14ac:dyDescent="0.6">
      <c r="A140" s="122"/>
      <c r="B140" s="123"/>
      <c r="C140" s="123"/>
      <c r="D140" s="123"/>
      <c r="E140" s="123"/>
      <c r="F140" s="123"/>
      <c r="G140" s="123"/>
      <c r="H140" s="123"/>
      <c r="I140" s="132" t="s">
        <v>69</v>
      </c>
      <c r="J140" s="133"/>
    </row>
    <row r="141" spans="1:10" ht="28" customHeight="1" x14ac:dyDescent="0.55000000000000004">
      <c r="A141" s="151" t="s">
        <v>70</v>
      </c>
      <c r="B141" s="136"/>
      <c r="C141" s="136"/>
      <c r="D141" s="136"/>
      <c r="E141" s="181" t="s">
        <v>71</v>
      </c>
      <c r="F141" s="136"/>
      <c r="G141" s="136"/>
      <c r="H141" s="136"/>
      <c r="I141" s="136"/>
      <c r="J141" s="144"/>
    </row>
    <row r="142" spans="1:10" x14ac:dyDescent="0.55000000000000004">
      <c r="A142" s="149" t="s">
        <v>2</v>
      </c>
      <c r="B142" s="121"/>
      <c r="C142" s="121"/>
      <c r="D142" s="128"/>
      <c r="E142" s="121"/>
      <c r="F142" s="121"/>
      <c r="G142" s="158" t="s">
        <v>3</v>
      </c>
      <c r="H142" s="121"/>
      <c r="I142" s="121"/>
      <c r="J142" s="52"/>
    </row>
    <row r="143" spans="1:10" x14ac:dyDescent="0.55000000000000004">
      <c r="A143" s="120"/>
      <c r="B143" s="121"/>
      <c r="C143" s="121"/>
      <c r="D143" s="121"/>
      <c r="E143" s="121"/>
      <c r="F143" s="121"/>
      <c r="G143" s="121"/>
      <c r="H143" s="121"/>
      <c r="I143" s="121"/>
      <c r="J143" s="52"/>
    </row>
    <row r="144" spans="1:10" x14ac:dyDescent="0.55000000000000004">
      <c r="A144" s="120"/>
      <c r="B144" s="121"/>
      <c r="C144" s="121"/>
      <c r="D144" s="121"/>
      <c r="E144" s="121"/>
      <c r="F144" s="121"/>
      <c r="G144" s="121"/>
      <c r="H144" s="121"/>
      <c r="I144" s="121"/>
      <c r="J144" s="52"/>
    </row>
    <row r="145" spans="1:10" x14ac:dyDescent="0.55000000000000004">
      <c r="A145" s="165" t="s">
        <v>72</v>
      </c>
      <c r="B145" s="121"/>
      <c r="C145" s="121"/>
      <c r="D145" s="121"/>
      <c r="E145" s="121"/>
      <c r="F145" s="121"/>
      <c r="G145" s="141" t="s">
        <v>73</v>
      </c>
      <c r="H145" s="121"/>
      <c r="I145" s="121"/>
      <c r="J145" s="125"/>
    </row>
    <row r="146" spans="1:10" x14ac:dyDescent="0.55000000000000004">
      <c r="A146" s="165" t="s">
        <v>74</v>
      </c>
      <c r="B146" s="121"/>
      <c r="C146" s="121"/>
      <c r="D146" s="121"/>
      <c r="E146" s="121"/>
      <c r="F146" s="121"/>
      <c r="G146" s="145"/>
      <c r="H146" s="121"/>
      <c r="I146" s="121"/>
      <c r="J146" s="125"/>
    </row>
    <row r="147" spans="1:10" x14ac:dyDescent="0.55000000000000004">
      <c r="A147" s="77"/>
      <c r="D147" s="129"/>
      <c r="E147" s="129"/>
      <c r="F147" s="129"/>
      <c r="G147" s="129"/>
      <c r="H147" s="129"/>
      <c r="I147" s="129"/>
      <c r="J147" s="146"/>
    </row>
    <row r="148" spans="1:10" x14ac:dyDescent="0.55000000000000004">
      <c r="A148" s="78" t="s">
        <v>7</v>
      </c>
      <c r="B148" s="30" t="s">
        <v>8</v>
      </c>
      <c r="C148" s="30" t="s">
        <v>9</v>
      </c>
      <c r="D148" s="30" t="s">
        <v>10</v>
      </c>
      <c r="E148" s="30" t="s">
        <v>11</v>
      </c>
      <c r="F148" s="30" t="s">
        <v>12</v>
      </c>
      <c r="G148" s="30" t="s">
        <v>13</v>
      </c>
      <c r="H148" s="30" t="s">
        <v>14</v>
      </c>
      <c r="I148" s="30" t="s">
        <v>15</v>
      </c>
      <c r="J148" s="79" t="s">
        <v>16</v>
      </c>
    </row>
    <row r="149" spans="1:10" ht="18" customHeight="1" x14ac:dyDescent="0.55000000000000004">
      <c r="A149" s="57">
        <v>51</v>
      </c>
      <c r="B149" s="7" t="str">
        <f>IFERROR(VLOOKUP(A149,'Cadastro Geral Campistas'!$A:$R,2,0),"")</f>
        <v>Glaucia Atavila da Silva</v>
      </c>
      <c r="C149" s="6">
        <f>IFERROR(VLOOKUP(A149,'Cadastro Geral Campistas'!$A:$R,5,0),"")</f>
        <v>68</v>
      </c>
      <c r="D149" s="6">
        <f>IFERROR(VLOOKUP(A149,'Cadastro Geral Campistas'!$A:$R,6,0),"")</f>
        <v>1.68</v>
      </c>
      <c r="E149" s="6">
        <f>IFERROR(VLOOKUP(A149,'Cadastro Geral Campistas'!$A:$R,7,0),"")</f>
        <v>50</v>
      </c>
      <c r="F149" s="7" t="str">
        <f>IFERROR(VLOOKUP(A149,'Cadastro Geral Campistas'!$A:$R,9,0),"")</f>
        <v>Goiânia</v>
      </c>
      <c r="G149" s="6" t="str">
        <f>IFERROR(VLOOKUP(A149,'Cadastro Geral Campistas'!$A:$R,3,0),"")</f>
        <v>M</v>
      </c>
      <c r="H149" s="7" t="str">
        <f>IFERROR(VLOOKUP(A149,'Cadastro Geral Campistas'!$A:$R,8,0),"")</f>
        <v>+55 (62) 99997-1003</v>
      </c>
      <c r="I149" s="101" t="str">
        <f>IF(AND(IFERROR(VLOOKUP(A149,'Cadastro Geral Campistas'!$A:$R,18,0),0)&gt;0,COUNTIF($A$149:$A$164,IFERROR(VLOOKUP(A149,'Cadastro Geral Campistas'!$A:$R,18,0),0))&gt;0),"⚠️ CONFLITO! Cônjuge na mesma tribo: "&amp;IFERROR(VLOOKUP(IFERROR(VLOOKUP(A149,'Cadastro Geral Campistas'!$A:$R,18,0),0),'Cadastro Geral Campistas'!$A:$R,2,""),""),TRIM(IF(AND(IFERROR(VLOOKUP(A149,'Cadastro Geral Campistas'!$A:$R,10,0),"")&lt;&gt;"",LOWER(TRIM(IFERROR(VLOOKUP(A149,'Cadastro Geral Campistas'!$A:$R,10,0),"")))&lt;&gt;"não",LOWER(TRIM(IFERROR(VLOOKUP(A149,'Cadastro Geral Campistas'!$A:$R,10,0),"")))&lt;&gt;"nao",LOWER(TRIM(IFERROR(VLOOKUP(A149,'Cadastro Geral Campistas'!$A:$R,10,0),"")))&lt;&gt;"0"),IFERROR(VLOOKUP(A149,'Cadastro Geral Campistas'!$A:$R,10,0),"")&amp;IF(AND(IFERROR(VLOOKUP(A149,'Cadastro Geral Campistas'!$A:$R,15,0),"")&lt;&gt;"",LOWER(TRIM(IFERROR(VLOOKUP(A149,'Cadastro Geral Campistas'!$A:$R,15,0),"")))&lt;&gt;"não",LOWER(TRIM(IFERROR(VLOOKUP(A149,'Cadastro Geral Campistas'!$A:$R,15,0),"")))&lt;&gt;"nao",LOWER(TRIM(IFERROR(VLOOKUP(A149,'Cadastro Geral Campistas'!$A:$R,15,0),"")))&lt;&gt;"0")," | Alergia: "&amp;IFERROR(VLOOKUP(A149,'Cadastro Geral Campistas'!$A:$R,15,0),""),""),IF(AND(IFERROR(VLOOKUP(A149,'Cadastro Geral Campistas'!$A:$R,15,0),"")&lt;&gt;"",LOWER(TRIM(IFERROR(VLOOKUP(A149,'Cadastro Geral Campistas'!$A:$R,15,0),"")))&lt;&gt;"não",LOWER(TRIM(IFERROR(VLOOKUP(A149,'Cadastro Geral Campistas'!$A:$R,15,0),"")))&lt;&gt;"nao",LOWER(TRIM(IFERROR(VLOOKUP(A149,'Cadastro Geral Campistas'!$A:$R,15,0),"")))&lt;&gt;"0"),"Alergia: "&amp;IFERROR(VLOOKUP(A149,'Cadastro Geral Campistas'!$A:$R,15,0),""),""))))</f>
        <v>Alergia: Alergia a crustáceos</v>
      </c>
      <c r="J149" s="58" t="str">
        <f>IFERROR(VLOOKUP(A149,'Cadastro Geral Campistas'!$A:$R,4,0),"")</f>
        <v>F</v>
      </c>
    </row>
    <row r="150" spans="1:10" ht="18" customHeight="1" x14ac:dyDescent="0.55000000000000004">
      <c r="A150" s="80">
        <v>60</v>
      </c>
      <c r="B150" s="31" t="str">
        <f>IFERROR(VLOOKUP(A150,'Cadastro Geral Campistas'!$A:$R,2,0),"")</f>
        <v>Jessica Batista alves</v>
      </c>
      <c r="C150" s="32">
        <f>IFERROR(VLOOKUP(A150,'Cadastro Geral Campistas'!$A:$R,5,0),"")</f>
        <v>64</v>
      </c>
      <c r="D150" s="32">
        <f>IFERROR(VLOOKUP(A150,'Cadastro Geral Campistas'!$A:$R,6,0),"")</f>
        <v>1.63</v>
      </c>
      <c r="E150" s="32">
        <f>IFERROR(VLOOKUP(A150,'Cadastro Geral Campistas'!$A:$R,7,0),"")</f>
        <v>32</v>
      </c>
      <c r="F150" s="31" t="str">
        <f>IFERROR(VLOOKUP(A150,'Cadastro Geral Campistas'!$A:$R,9,0),"")</f>
        <v>Goiânia</v>
      </c>
      <c r="G150" s="32" t="str">
        <f>IFERROR(VLOOKUP(A150,'Cadastro Geral Campistas'!$A:$R,3,0),"")</f>
        <v>M</v>
      </c>
      <c r="H150" s="31" t="str">
        <f>IFERROR(VLOOKUP(A150,'Cadastro Geral Campistas'!$A:$R,8,0),"")</f>
        <v>+55 (62) 99404-9132</v>
      </c>
      <c r="I150" s="109" t="str">
        <f>IF(AND(IFERROR(VLOOKUP(A150,'Cadastro Geral Campistas'!$A:$R,18,0),0)&gt;0,COUNTIF($A$149:$A$164,IFERROR(VLOOKUP(A150,'Cadastro Geral Campistas'!$A:$R,18,0),0))&gt;0),"⚠️ CONFLITO! Cônjuge na mesma tribo: "&amp;IFERROR(VLOOKUP(IFERROR(VLOOKUP(A150,'Cadastro Geral Campistas'!$A:$R,18,0),0),'Cadastro Geral Campistas'!$A:$R,2,""),""),TRIM(IF(AND(IFERROR(VLOOKUP(A150,'Cadastro Geral Campistas'!$A:$R,10,0),"")&lt;&gt;"",LOWER(TRIM(IFERROR(VLOOKUP(A150,'Cadastro Geral Campistas'!$A:$R,10,0),"")))&lt;&gt;"não",LOWER(TRIM(IFERROR(VLOOKUP(A150,'Cadastro Geral Campistas'!$A:$R,10,0),"")))&lt;&gt;"nao",LOWER(TRIM(IFERROR(VLOOKUP(A150,'Cadastro Geral Campistas'!$A:$R,10,0),"")))&lt;&gt;"0"),IFERROR(VLOOKUP(A150,'Cadastro Geral Campistas'!$A:$R,10,0),"")&amp;IF(AND(IFERROR(VLOOKUP(A150,'Cadastro Geral Campistas'!$A:$R,15,0),"")&lt;&gt;"",LOWER(TRIM(IFERROR(VLOOKUP(A150,'Cadastro Geral Campistas'!$A:$R,15,0),"")))&lt;&gt;"não",LOWER(TRIM(IFERROR(VLOOKUP(A150,'Cadastro Geral Campistas'!$A:$R,15,0),"")))&lt;&gt;"nao",LOWER(TRIM(IFERROR(VLOOKUP(A150,'Cadastro Geral Campistas'!$A:$R,15,0),"")))&lt;&gt;"0")," | Alergia: "&amp;IFERROR(VLOOKUP(A150,'Cadastro Geral Campistas'!$A:$R,15,0),""),""),IF(AND(IFERROR(VLOOKUP(A150,'Cadastro Geral Campistas'!$A:$R,15,0),"")&lt;&gt;"",LOWER(TRIM(IFERROR(VLOOKUP(A150,'Cadastro Geral Campistas'!$A:$R,15,0),"")))&lt;&gt;"não",LOWER(TRIM(IFERROR(VLOOKUP(A150,'Cadastro Geral Campistas'!$A:$R,15,0),"")))&lt;&gt;"nao",LOWER(TRIM(IFERROR(VLOOKUP(A150,'Cadastro Geral Campistas'!$A:$R,15,0),"")))&lt;&gt;"0"),"Alergia: "&amp;IFERROR(VLOOKUP(A150,'Cadastro Geral Campistas'!$A:$R,15,0),""),""))))</f>
        <v>Alergia: nao6</v>
      </c>
      <c r="J150" s="81" t="str">
        <f>IFERROR(VLOOKUP(A150,'Cadastro Geral Campistas'!$A:$R,4,0),"")</f>
        <v>F</v>
      </c>
    </row>
    <row r="151" spans="1:10" ht="18" customHeight="1" x14ac:dyDescent="0.55000000000000004">
      <c r="A151" s="55">
        <v>71</v>
      </c>
      <c r="B151" s="3" t="str">
        <f>IFERROR(VLOOKUP(A151,'Cadastro Geral Campistas'!$A:$R,2,0),"")</f>
        <v>Karla Regina da Silva Rodrigues</v>
      </c>
      <c r="C151" s="2">
        <f>IFERROR(VLOOKUP(A151,'Cadastro Geral Campistas'!$A:$R,5,0),"")</f>
        <v>76</v>
      </c>
      <c r="D151" s="2">
        <f>IFERROR(VLOOKUP(A151,'Cadastro Geral Campistas'!$A:$R,6,0),"")</f>
        <v>1.64</v>
      </c>
      <c r="E151" s="2">
        <f>IFERROR(VLOOKUP(A151,'Cadastro Geral Campistas'!$A:$R,7,0),"")</f>
        <v>45</v>
      </c>
      <c r="F151" s="3" t="str">
        <f>IFERROR(VLOOKUP(A151,'Cadastro Geral Campistas'!$A:$R,9,0),"")</f>
        <v>Goiânia</v>
      </c>
      <c r="G151" s="2" t="str">
        <f>IFERROR(VLOOKUP(A151,'Cadastro Geral Campistas'!$A:$R,3,0),"")</f>
        <v>M</v>
      </c>
      <c r="H151" s="3" t="str">
        <f>IFERROR(VLOOKUP(A151,'Cadastro Geral Campistas'!$A:$R,8,0),"")</f>
        <v>+55 (62) 99983-0332</v>
      </c>
      <c r="I151" s="103" t="str">
        <f>IF(AND(IFERROR(VLOOKUP(A151,'Cadastro Geral Campistas'!$A:$R,18,0),0)&gt;0,COUNTIF($A$149:$A$164,IFERROR(VLOOKUP(A151,'Cadastro Geral Campistas'!$A:$R,18,0),0))&gt;0),"⚠️ CONFLITO! Cônjuge na mesma tribo: "&amp;IFERROR(VLOOKUP(IFERROR(VLOOKUP(A151,'Cadastro Geral Campistas'!$A:$R,18,0),0),'Cadastro Geral Campistas'!$A:$R,2,""),""),TRIM(IF(AND(IFERROR(VLOOKUP(A151,'Cadastro Geral Campistas'!$A:$R,10,0),"")&lt;&gt;"",LOWER(TRIM(IFERROR(VLOOKUP(A151,'Cadastro Geral Campistas'!$A:$R,10,0),"")))&lt;&gt;"não",LOWER(TRIM(IFERROR(VLOOKUP(A151,'Cadastro Geral Campistas'!$A:$R,10,0),"")))&lt;&gt;"nao",LOWER(TRIM(IFERROR(VLOOKUP(A151,'Cadastro Geral Campistas'!$A:$R,10,0),"")))&lt;&gt;"0"),IFERROR(VLOOKUP(A151,'Cadastro Geral Campistas'!$A:$R,10,0),"")&amp;IF(AND(IFERROR(VLOOKUP(A151,'Cadastro Geral Campistas'!$A:$R,15,0),"")&lt;&gt;"",LOWER(TRIM(IFERROR(VLOOKUP(A151,'Cadastro Geral Campistas'!$A:$R,15,0),"")))&lt;&gt;"não",LOWER(TRIM(IFERROR(VLOOKUP(A151,'Cadastro Geral Campistas'!$A:$R,15,0),"")))&lt;&gt;"nao",LOWER(TRIM(IFERROR(VLOOKUP(A151,'Cadastro Geral Campistas'!$A:$R,15,0),"")))&lt;&gt;"0")," | Alergia: "&amp;IFERROR(VLOOKUP(A151,'Cadastro Geral Campistas'!$A:$R,15,0),""),""),IF(AND(IFERROR(VLOOKUP(A151,'Cadastro Geral Campistas'!$A:$R,15,0),"")&lt;&gt;"",LOWER(TRIM(IFERROR(VLOOKUP(A151,'Cadastro Geral Campistas'!$A:$R,15,0),"")))&lt;&gt;"não",LOWER(TRIM(IFERROR(VLOOKUP(A151,'Cadastro Geral Campistas'!$A:$R,15,0),"")))&lt;&gt;"nao",LOWER(TRIM(IFERROR(VLOOKUP(A151,'Cadastro Geral Campistas'!$A:$R,15,0),"")))&lt;&gt;"0"),"Alergia: "&amp;IFERROR(VLOOKUP(A151,'Cadastro Geral Campistas'!$A:$R,15,0),""),""))))</f>
        <v>meu esposo Carlos Bruno Rodrigues</v>
      </c>
      <c r="J151" s="56" t="str">
        <f>IFERROR(VLOOKUP(A151,'Cadastro Geral Campistas'!$A:$R,4,0),"")</f>
        <v>F</v>
      </c>
    </row>
    <row r="152" spans="1:10" ht="18" customHeight="1" x14ac:dyDescent="0.55000000000000004">
      <c r="A152" s="55">
        <v>82</v>
      </c>
      <c r="B152" s="3" t="str">
        <f>IFERROR(VLOOKUP(A152,'Cadastro Geral Campistas'!$A:$R,2,0),"")</f>
        <v>Luciana Costa de Oliveira Soares</v>
      </c>
      <c r="C152" s="2">
        <f>IFERROR(VLOOKUP(A152,'Cadastro Geral Campistas'!$A:$R,5,0),"")</f>
        <v>82</v>
      </c>
      <c r="D152" s="2">
        <f>IFERROR(VLOOKUP(A152,'Cadastro Geral Campistas'!$A:$R,6,0),"")</f>
        <v>1.57</v>
      </c>
      <c r="E152" s="2">
        <f>IFERROR(VLOOKUP(A152,'Cadastro Geral Campistas'!$A:$R,7,0),"")</f>
        <v>44</v>
      </c>
      <c r="F152" s="3" t="str">
        <f>IFERROR(VLOOKUP(A152,'Cadastro Geral Campistas'!$A:$R,9,0),"")</f>
        <v>Goiânia</v>
      </c>
      <c r="G152" s="2" t="str">
        <f>IFERROR(VLOOKUP(A152,'Cadastro Geral Campistas'!$A:$R,3,0),"")</f>
        <v>G</v>
      </c>
      <c r="H152" s="3" t="str">
        <f>IFERROR(VLOOKUP(A152,'Cadastro Geral Campistas'!$A:$R,8,0),"")</f>
        <v>+55 (62) 99942-2008</v>
      </c>
      <c r="I152" s="103" t="str">
        <f>IF(AND(IFERROR(VLOOKUP(A152,'Cadastro Geral Campistas'!$A:$R,18,0),0)&gt;0,COUNTIF($A$149:$A$164,IFERROR(VLOOKUP(A152,'Cadastro Geral Campistas'!$A:$R,18,0),0))&gt;0),"⚠️ CONFLITO! Cônjuge na mesma tribo: "&amp;IFERROR(VLOOKUP(IFERROR(VLOOKUP(A152,'Cadastro Geral Campistas'!$A:$R,18,0),0),'Cadastro Geral Campistas'!$A:$R,2,""),""),TRIM(IF(AND(IFERROR(VLOOKUP(A152,'Cadastro Geral Campistas'!$A:$R,10,0),"")&lt;&gt;"",LOWER(TRIM(IFERROR(VLOOKUP(A152,'Cadastro Geral Campistas'!$A:$R,10,0),"")))&lt;&gt;"não",LOWER(TRIM(IFERROR(VLOOKUP(A152,'Cadastro Geral Campistas'!$A:$R,10,0),"")))&lt;&gt;"nao",LOWER(TRIM(IFERROR(VLOOKUP(A152,'Cadastro Geral Campistas'!$A:$R,10,0),"")))&lt;&gt;"0"),IFERROR(VLOOKUP(A152,'Cadastro Geral Campistas'!$A:$R,10,0),"")&amp;IF(AND(IFERROR(VLOOKUP(A152,'Cadastro Geral Campistas'!$A:$R,15,0),"")&lt;&gt;"",LOWER(TRIM(IFERROR(VLOOKUP(A152,'Cadastro Geral Campistas'!$A:$R,15,0),"")))&lt;&gt;"não",LOWER(TRIM(IFERROR(VLOOKUP(A152,'Cadastro Geral Campistas'!$A:$R,15,0),"")))&lt;&gt;"nao",LOWER(TRIM(IFERROR(VLOOKUP(A152,'Cadastro Geral Campistas'!$A:$R,15,0),"")))&lt;&gt;"0")," | Alergia: "&amp;IFERROR(VLOOKUP(A152,'Cadastro Geral Campistas'!$A:$R,15,0),""),""),IF(AND(IFERROR(VLOOKUP(A152,'Cadastro Geral Campistas'!$A:$R,15,0),"")&lt;&gt;"",LOWER(TRIM(IFERROR(VLOOKUP(A152,'Cadastro Geral Campistas'!$A:$R,15,0),"")))&lt;&gt;"não",LOWER(TRIM(IFERROR(VLOOKUP(A152,'Cadastro Geral Campistas'!$A:$R,15,0),"")))&lt;&gt;"nao",LOWER(TRIM(IFERROR(VLOOKUP(A152,'Cadastro Geral Campistas'!$A:$R,15,0),"")))&lt;&gt;"0"),"Alergia: "&amp;IFERROR(VLOOKUP(A152,'Cadastro Geral Campistas'!$A:$R,15,0),""),""))))</f>
        <v>sim. meu esposo Cirilo de Jesus Soares | Alergia: diporona e derivados de timerosal</v>
      </c>
      <c r="J152" s="56" t="str">
        <f>IFERROR(VLOOKUP(A152,'Cadastro Geral Campistas'!$A:$R,4,0),"")</f>
        <v>F</v>
      </c>
    </row>
    <row r="153" spans="1:10" ht="18" customHeight="1" x14ac:dyDescent="0.55000000000000004">
      <c r="A153" s="57">
        <v>123</v>
      </c>
      <c r="B153" s="7" t="str">
        <f>IFERROR(VLOOKUP(A153,'Cadastro Geral Campistas'!$A:$R,2,0),"")</f>
        <v>Sara Angel Pinho de Paula Pacheco</v>
      </c>
      <c r="C153" s="6">
        <f>IFERROR(VLOOKUP(A153,'Cadastro Geral Campistas'!$A:$R,5,0),"")</f>
        <v>56</v>
      </c>
      <c r="D153" s="6">
        <f>IFERROR(VLOOKUP(A153,'Cadastro Geral Campistas'!$A:$R,6,0),"")</f>
        <v>1.57</v>
      </c>
      <c r="E153" s="6">
        <f>IFERROR(VLOOKUP(A153,'Cadastro Geral Campistas'!$A:$R,7,0),"")</f>
        <v>26</v>
      </c>
      <c r="F153" s="7" t="str">
        <f>IFERROR(VLOOKUP(A153,'Cadastro Geral Campistas'!$A:$R,9,0),"")</f>
        <v>Goiânia</v>
      </c>
      <c r="G153" s="6" t="str">
        <f>IFERROR(VLOOKUP(A153,'Cadastro Geral Campistas'!$A:$R,3,0),"")</f>
        <v>M</v>
      </c>
      <c r="H153" s="7" t="str">
        <f>IFERROR(VLOOKUP(A153,'Cadastro Geral Campistas'!$A:$R,8,0),"")</f>
        <v>+55 (62) 99304-2632</v>
      </c>
      <c r="I153" s="101" t="str">
        <f>IF(AND(IFERROR(VLOOKUP(A153,'Cadastro Geral Campistas'!$A:$R,18,0),0)&gt;0,COUNTIF($A$149:$A$164,IFERROR(VLOOKUP(A153,'Cadastro Geral Campistas'!$A:$R,18,0),0))&gt;0),"⚠️ CONFLITO! Cônjuge na mesma tribo: "&amp;IFERROR(VLOOKUP(IFERROR(VLOOKUP(A153,'Cadastro Geral Campistas'!$A:$R,18,0),0),'Cadastro Geral Campistas'!$A:$R,2,""),""),TRIM(IF(AND(IFERROR(VLOOKUP(A153,'Cadastro Geral Campistas'!$A:$R,10,0),"")&lt;&gt;"",LOWER(TRIM(IFERROR(VLOOKUP(A153,'Cadastro Geral Campistas'!$A:$R,10,0),"")))&lt;&gt;"não",LOWER(TRIM(IFERROR(VLOOKUP(A153,'Cadastro Geral Campistas'!$A:$R,10,0),"")))&lt;&gt;"nao",LOWER(TRIM(IFERROR(VLOOKUP(A153,'Cadastro Geral Campistas'!$A:$R,10,0),"")))&lt;&gt;"0"),IFERROR(VLOOKUP(A153,'Cadastro Geral Campistas'!$A:$R,10,0),"")&amp;IF(AND(IFERROR(VLOOKUP(A153,'Cadastro Geral Campistas'!$A:$R,15,0),"")&lt;&gt;"",LOWER(TRIM(IFERROR(VLOOKUP(A153,'Cadastro Geral Campistas'!$A:$R,15,0),"")))&lt;&gt;"não",LOWER(TRIM(IFERROR(VLOOKUP(A153,'Cadastro Geral Campistas'!$A:$R,15,0),"")))&lt;&gt;"nao",LOWER(TRIM(IFERROR(VLOOKUP(A153,'Cadastro Geral Campistas'!$A:$R,15,0),"")))&lt;&gt;"0")," | Alergia: "&amp;IFERROR(VLOOKUP(A153,'Cadastro Geral Campistas'!$A:$R,15,0),""),""),IF(AND(IFERROR(VLOOKUP(A153,'Cadastro Geral Campistas'!$A:$R,15,0),"")&lt;&gt;"",LOWER(TRIM(IFERROR(VLOOKUP(A153,'Cadastro Geral Campistas'!$A:$R,15,0),"")))&lt;&gt;"não",LOWER(TRIM(IFERROR(VLOOKUP(A153,'Cadastro Geral Campistas'!$A:$R,15,0),"")))&lt;&gt;"nao",LOWER(TRIM(IFERROR(VLOOKUP(A153,'Cadastro Geral Campistas'!$A:$R,15,0),"")))&lt;&gt;"0"),"Alergia: "&amp;IFERROR(VLOOKUP(A153,'Cadastro Geral Campistas'!$A:$R,15,0),""),""))))</f>
        <v>Edson Junior esposo, amigos: Josane, Pedro Luan, e Thais (está na lista de reserva) | Alergia: alimentação vegetariana, alergia:bromopida, dramin.</v>
      </c>
      <c r="J153" s="58" t="str">
        <f>IFERROR(VLOOKUP(A153,'Cadastro Geral Campistas'!$A:$R,4,0),"")</f>
        <v>F</v>
      </c>
    </row>
    <row r="154" spans="1:10" ht="18" customHeight="1" x14ac:dyDescent="0.55000000000000004">
      <c r="A154" s="80">
        <v>126</v>
      </c>
      <c r="B154" s="31" t="str">
        <f>IFERROR(VLOOKUP(A154,'Cadastro Geral Campistas'!$A:$R,2,0),"")</f>
        <v>Tavilla Silva Lagares</v>
      </c>
      <c r="C154" s="32">
        <f>IFERROR(VLOOKUP(A154,'Cadastro Geral Campistas'!$A:$R,5,0),"")</f>
        <v>60</v>
      </c>
      <c r="D154" s="32">
        <f>IFERROR(VLOOKUP(A154,'Cadastro Geral Campistas'!$A:$R,6,0),"")</f>
        <v>1.65</v>
      </c>
      <c r="E154" s="32">
        <f>IFERROR(VLOOKUP(A154,'Cadastro Geral Campistas'!$A:$R,7,0),"")</f>
        <v>31</v>
      </c>
      <c r="F154" s="31" t="str">
        <f>IFERROR(VLOOKUP(A154,'Cadastro Geral Campistas'!$A:$R,9,0),"")</f>
        <v>Goiânia</v>
      </c>
      <c r="G154" s="32" t="str">
        <f>IFERROR(VLOOKUP(A154,'Cadastro Geral Campistas'!$A:$R,3,0),"")</f>
        <v>M</v>
      </c>
      <c r="H154" s="31" t="str">
        <f>IFERROR(VLOOKUP(A154,'Cadastro Geral Campistas'!$A:$R,8,0),"")</f>
        <v>+55 (62) 99446-4641</v>
      </c>
      <c r="I154" s="109" t="str">
        <f>IF(AND(IFERROR(VLOOKUP(A154,'Cadastro Geral Campistas'!$A:$R,18,0),0)&gt;0,COUNTIF($A$149:$A$164,IFERROR(VLOOKUP(A154,'Cadastro Geral Campistas'!$A:$R,18,0),0))&gt;0),"⚠️ CONFLITO! Cônjuge na mesma tribo: "&amp;IFERROR(VLOOKUP(IFERROR(VLOOKUP(A154,'Cadastro Geral Campistas'!$A:$R,18,0),0),'Cadastro Geral Campistas'!$A:$R,2,""),""),TRIM(IF(AND(IFERROR(VLOOKUP(A154,'Cadastro Geral Campistas'!$A:$R,10,0),"")&lt;&gt;"",LOWER(TRIM(IFERROR(VLOOKUP(A154,'Cadastro Geral Campistas'!$A:$R,10,0),"")))&lt;&gt;"não",LOWER(TRIM(IFERROR(VLOOKUP(A154,'Cadastro Geral Campistas'!$A:$R,10,0),"")))&lt;&gt;"nao",LOWER(TRIM(IFERROR(VLOOKUP(A154,'Cadastro Geral Campistas'!$A:$R,10,0),"")))&lt;&gt;"0"),IFERROR(VLOOKUP(A154,'Cadastro Geral Campistas'!$A:$R,10,0),"")&amp;IF(AND(IFERROR(VLOOKUP(A154,'Cadastro Geral Campistas'!$A:$R,15,0),"")&lt;&gt;"",LOWER(TRIM(IFERROR(VLOOKUP(A154,'Cadastro Geral Campistas'!$A:$R,15,0),"")))&lt;&gt;"não",LOWER(TRIM(IFERROR(VLOOKUP(A154,'Cadastro Geral Campistas'!$A:$R,15,0),"")))&lt;&gt;"nao",LOWER(TRIM(IFERROR(VLOOKUP(A154,'Cadastro Geral Campistas'!$A:$R,15,0),"")))&lt;&gt;"0")," | Alergia: "&amp;IFERROR(VLOOKUP(A154,'Cadastro Geral Campistas'!$A:$R,15,0),""),""),IF(AND(IFERROR(VLOOKUP(A154,'Cadastro Geral Campistas'!$A:$R,15,0),"")&lt;&gt;"",LOWER(TRIM(IFERROR(VLOOKUP(A154,'Cadastro Geral Campistas'!$A:$R,15,0),"")))&lt;&gt;"não",LOWER(TRIM(IFERROR(VLOOKUP(A154,'Cadastro Geral Campistas'!$A:$R,15,0),"")))&lt;&gt;"nao",LOWER(TRIM(IFERROR(VLOOKUP(A154,'Cadastro Geral Campistas'!$A:$R,15,0),"")))&lt;&gt;"0"),"Alergia: "&amp;IFERROR(VLOOKUP(A154,'Cadastro Geral Campistas'!$A:$R,15,0),""),""))))</f>
        <v/>
      </c>
      <c r="J154" s="81" t="str">
        <f>IFERROR(VLOOKUP(A154,'Cadastro Geral Campistas'!$A:$R,4,0),"")</f>
        <v>F</v>
      </c>
    </row>
    <row r="155" spans="1:10" ht="18" customHeight="1" x14ac:dyDescent="0.55000000000000004">
      <c r="A155" s="57">
        <v>133</v>
      </c>
      <c r="B155" s="7" t="str">
        <f>IFERROR(VLOOKUP(A155,'Cadastro Geral Campistas'!$A:$R,2,0),"")</f>
        <v>TÂNIA MÔNICA</v>
      </c>
      <c r="C155" s="6">
        <f>IFERROR(VLOOKUP(A155,'Cadastro Geral Campistas'!$A:$R,5,0),"")</f>
        <v>90</v>
      </c>
      <c r="D155" s="6">
        <f>IFERROR(VLOOKUP(A155,'Cadastro Geral Campistas'!$A:$R,6,0),"")</f>
        <v>1.7</v>
      </c>
      <c r="E155" s="6">
        <f>IFERROR(VLOOKUP(A155,'Cadastro Geral Campistas'!$A:$R,7,0),"")</f>
        <v>51</v>
      </c>
      <c r="F155" s="7" t="str">
        <f>IFERROR(VLOOKUP(A155,'Cadastro Geral Campistas'!$A:$R,9,0),"")</f>
        <v>Silvânia</v>
      </c>
      <c r="G155" s="6" t="str">
        <f>IFERROR(VLOOKUP(A155,'Cadastro Geral Campistas'!$A:$R,3,0),"")</f>
        <v>GG</v>
      </c>
      <c r="H155" s="7" t="str">
        <f>IFERROR(VLOOKUP(A155,'Cadastro Geral Campistas'!$A:$R,8,0),"")</f>
        <v>+55 (62) 99959-0095</v>
      </c>
      <c r="I155" s="101" t="str">
        <f>IF(AND(IFERROR(VLOOKUP(A155,'Cadastro Geral Campistas'!$A:$R,18,0),0)&gt;0,COUNTIF($A$149:$A$164,IFERROR(VLOOKUP(A155,'Cadastro Geral Campistas'!$A:$R,18,0),0))&gt;0),"⚠️ CONFLITO! Cônjuge na mesma tribo: "&amp;IFERROR(VLOOKUP(IFERROR(VLOOKUP(A155,'Cadastro Geral Campistas'!$A:$R,18,0),0),'Cadastro Geral Campistas'!$A:$R,2,""),""),TRIM(IF(AND(IFERROR(VLOOKUP(A155,'Cadastro Geral Campistas'!$A:$R,10,0),"")&lt;&gt;"",LOWER(TRIM(IFERROR(VLOOKUP(A155,'Cadastro Geral Campistas'!$A:$R,10,0),"")))&lt;&gt;"não",LOWER(TRIM(IFERROR(VLOOKUP(A155,'Cadastro Geral Campistas'!$A:$R,10,0),"")))&lt;&gt;"nao",LOWER(TRIM(IFERROR(VLOOKUP(A155,'Cadastro Geral Campistas'!$A:$R,10,0),"")))&lt;&gt;"0"),IFERROR(VLOOKUP(A155,'Cadastro Geral Campistas'!$A:$R,10,0),"")&amp;IF(AND(IFERROR(VLOOKUP(A155,'Cadastro Geral Campistas'!$A:$R,15,0),"")&lt;&gt;"",LOWER(TRIM(IFERROR(VLOOKUP(A155,'Cadastro Geral Campistas'!$A:$R,15,0),"")))&lt;&gt;"não",LOWER(TRIM(IFERROR(VLOOKUP(A155,'Cadastro Geral Campistas'!$A:$R,15,0),"")))&lt;&gt;"nao",LOWER(TRIM(IFERROR(VLOOKUP(A155,'Cadastro Geral Campistas'!$A:$R,15,0),"")))&lt;&gt;"0")," | Alergia: "&amp;IFERROR(VLOOKUP(A155,'Cadastro Geral Campistas'!$A:$R,15,0),""),""),IF(AND(IFERROR(VLOOKUP(A155,'Cadastro Geral Campistas'!$A:$R,15,0),"")&lt;&gt;"",LOWER(TRIM(IFERROR(VLOOKUP(A155,'Cadastro Geral Campistas'!$A:$R,15,0),"")))&lt;&gt;"não",LOWER(TRIM(IFERROR(VLOOKUP(A155,'Cadastro Geral Campistas'!$A:$R,15,0),"")))&lt;&gt;"nao",LOWER(TRIM(IFERROR(VLOOKUP(A155,'Cadastro Geral Campistas'!$A:$R,15,0),"")))&lt;&gt;"0"),"Alergia: "&amp;IFERROR(VLOOKUP(A155,'Cadastro Geral Campistas'!$A:$R,15,0),""),""))))</f>
        <v>Sim, Carlos Bruno, Carla Rodrigues, Laura Neves</v>
      </c>
      <c r="J155" s="58" t="str">
        <f>IFERROR(VLOOKUP(A155,'Cadastro Geral Campistas'!$A:$R,4,0),"")</f>
        <v>F</v>
      </c>
    </row>
    <row r="156" spans="1:10" ht="18" customHeight="1" x14ac:dyDescent="0.55000000000000004">
      <c r="A156" s="80">
        <v>134</v>
      </c>
      <c r="B156" s="31" t="str">
        <f>IFERROR(VLOOKUP(A156,'Cadastro Geral Campistas'!$A:$R,2,0),"")</f>
        <v>Vanessa Samara Gonçalves</v>
      </c>
      <c r="C156" s="32">
        <f>IFERROR(VLOOKUP(A156,'Cadastro Geral Campistas'!$A:$R,5,0),"")</f>
        <v>60</v>
      </c>
      <c r="D156" s="32">
        <f>IFERROR(VLOOKUP(A156,'Cadastro Geral Campistas'!$A:$R,6,0),"")</f>
        <v>1.6</v>
      </c>
      <c r="E156" s="32">
        <f>IFERROR(VLOOKUP(A156,'Cadastro Geral Campistas'!$A:$R,7,0),"")</f>
        <v>50</v>
      </c>
      <c r="F156" s="31" t="str">
        <f>IFERROR(VLOOKUP(A156,'Cadastro Geral Campistas'!$A:$R,9,0),"")</f>
        <v>São Luis de Montes Belos</v>
      </c>
      <c r="G156" s="32" t="str">
        <f>IFERROR(VLOOKUP(A156,'Cadastro Geral Campistas'!$A:$R,3,0),"")</f>
        <v>P</v>
      </c>
      <c r="H156" s="31" t="str">
        <f>IFERROR(VLOOKUP(A156,'Cadastro Geral Campistas'!$A:$R,8,0),"")</f>
        <v>+55 (64) 99289-0784</v>
      </c>
      <c r="I156" s="109" t="str">
        <f>IF(AND(IFERROR(VLOOKUP(A156,'Cadastro Geral Campistas'!$A:$R,18,0),0)&gt;0,COUNTIF($A$149:$A$164,IFERROR(VLOOKUP(A156,'Cadastro Geral Campistas'!$A:$R,18,0),0))&gt;0),"⚠️ CONFLITO! Cônjuge na mesma tribo: "&amp;IFERROR(VLOOKUP(IFERROR(VLOOKUP(A156,'Cadastro Geral Campistas'!$A:$R,18,0),0),'Cadastro Geral Campistas'!$A:$R,2,""),""),TRIM(IF(AND(IFERROR(VLOOKUP(A156,'Cadastro Geral Campistas'!$A:$R,10,0),"")&lt;&gt;"",LOWER(TRIM(IFERROR(VLOOKUP(A156,'Cadastro Geral Campistas'!$A:$R,10,0),"")))&lt;&gt;"não",LOWER(TRIM(IFERROR(VLOOKUP(A156,'Cadastro Geral Campistas'!$A:$R,10,0),"")))&lt;&gt;"nao",LOWER(TRIM(IFERROR(VLOOKUP(A156,'Cadastro Geral Campistas'!$A:$R,10,0),"")))&lt;&gt;"0"),IFERROR(VLOOKUP(A156,'Cadastro Geral Campistas'!$A:$R,10,0),"")&amp;IF(AND(IFERROR(VLOOKUP(A156,'Cadastro Geral Campistas'!$A:$R,15,0),"")&lt;&gt;"",LOWER(TRIM(IFERROR(VLOOKUP(A156,'Cadastro Geral Campistas'!$A:$R,15,0),"")))&lt;&gt;"não",LOWER(TRIM(IFERROR(VLOOKUP(A156,'Cadastro Geral Campistas'!$A:$R,15,0),"")))&lt;&gt;"nao",LOWER(TRIM(IFERROR(VLOOKUP(A156,'Cadastro Geral Campistas'!$A:$R,15,0),"")))&lt;&gt;"0")," | Alergia: "&amp;IFERROR(VLOOKUP(A156,'Cadastro Geral Campistas'!$A:$R,15,0),""),""),IF(AND(IFERROR(VLOOKUP(A156,'Cadastro Geral Campistas'!$A:$R,15,0),"")&lt;&gt;"",LOWER(TRIM(IFERROR(VLOOKUP(A156,'Cadastro Geral Campistas'!$A:$R,15,0),"")))&lt;&gt;"não",LOWER(TRIM(IFERROR(VLOOKUP(A156,'Cadastro Geral Campistas'!$A:$R,15,0),"")))&lt;&gt;"nao",LOWER(TRIM(IFERROR(VLOOKUP(A156,'Cadastro Geral Campistas'!$A:$R,15,0),"")))&lt;&gt;"0"),"Alergia: "&amp;IFERROR(VLOOKUP(A156,'Cadastro Geral Campistas'!$A:$R,15,0),""),""))))</f>
        <v>Sim. Felipe Carvalho de Matos e Symonne Araújo de Paula Brandão</v>
      </c>
      <c r="J156" s="81" t="str">
        <f>IFERROR(VLOOKUP(A156,'Cadastro Geral Campistas'!$A:$R,4,0),"")</f>
        <v>F</v>
      </c>
    </row>
    <row r="157" spans="1:10" ht="18" customHeight="1" x14ac:dyDescent="0.55000000000000004">
      <c r="A157" s="57">
        <v>1</v>
      </c>
      <c r="B157" s="7" t="str">
        <f>IFERROR(VLOOKUP(A157,'Cadastro Geral Campistas'!$A:$R,2,0),"")</f>
        <v>Adejar Nunes Guimarães</v>
      </c>
      <c r="C157" s="6">
        <f>IFERROR(VLOOKUP(A157,'Cadastro Geral Campistas'!$A:$R,5,0),"")</f>
        <v>73</v>
      </c>
      <c r="D157" s="6">
        <f>IFERROR(VLOOKUP(A157,'Cadastro Geral Campistas'!$A:$R,6,0),"")</f>
        <v>1.66</v>
      </c>
      <c r="E157" s="6">
        <f>IFERROR(VLOOKUP(A157,'Cadastro Geral Campistas'!$A:$R,7,0),"")</f>
        <v>74</v>
      </c>
      <c r="F157" s="7" t="str">
        <f>IFERROR(VLOOKUP(A157,'Cadastro Geral Campistas'!$A:$R,9,0),"")</f>
        <v>Caçu</v>
      </c>
      <c r="G157" s="6" t="str">
        <f>IFERROR(VLOOKUP(A157,'Cadastro Geral Campistas'!$A:$R,3,0),"")</f>
        <v>G</v>
      </c>
      <c r="H157" s="7" t="str">
        <f>IFERROR(VLOOKUP(A157,'Cadastro Geral Campistas'!$A:$R,8,0),"")</f>
        <v>+55 (64) 98408-2025</v>
      </c>
      <c r="I157" s="101" t="str">
        <f>IF(AND(IFERROR(VLOOKUP(A157,'Cadastro Geral Campistas'!$A:$R,18,0),0)&gt;0,COUNTIF($A$149:$A$164,IFERROR(VLOOKUP(A157,'Cadastro Geral Campistas'!$A:$R,18,0),0))&gt;0),"⚠️ CONFLITO! Cônjuge na mesma tribo: "&amp;IFERROR(VLOOKUP(IFERROR(VLOOKUP(A157,'Cadastro Geral Campistas'!$A:$R,18,0),0),'Cadastro Geral Campistas'!$A:$R,2,""),""),TRIM(IF(AND(IFERROR(VLOOKUP(A157,'Cadastro Geral Campistas'!$A:$R,10,0),"")&lt;&gt;"",LOWER(TRIM(IFERROR(VLOOKUP(A157,'Cadastro Geral Campistas'!$A:$R,10,0),"")))&lt;&gt;"não",LOWER(TRIM(IFERROR(VLOOKUP(A157,'Cadastro Geral Campistas'!$A:$R,10,0),"")))&lt;&gt;"nao",LOWER(TRIM(IFERROR(VLOOKUP(A157,'Cadastro Geral Campistas'!$A:$R,10,0),"")))&lt;&gt;"0"),IFERROR(VLOOKUP(A157,'Cadastro Geral Campistas'!$A:$R,10,0),"")&amp;IF(AND(IFERROR(VLOOKUP(A157,'Cadastro Geral Campistas'!$A:$R,15,0),"")&lt;&gt;"",LOWER(TRIM(IFERROR(VLOOKUP(A157,'Cadastro Geral Campistas'!$A:$R,15,0),"")))&lt;&gt;"não",LOWER(TRIM(IFERROR(VLOOKUP(A157,'Cadastro Geral Campistas'!$A:$R,15,0),"")))&lt;&gt;"nao",LOWER(TRIM(IFERROR(VLOOKUP(A157,'Cadastro Geral Campistas'!$A:$R,15,0),"")))&lt;&gt;"0")," | Alergia: "&amp;IFERROR(VLOOKUP(A157,'Cadastro Geral Campistas'!$A:$R,15,0),""),""),IF(AND(IFERROR(VLOOKUP(A157,'Cadastro Geral Campistas'!$A:$R,15,0),"")&lt;&gt;"",LOWER(TRIM(IFERROR(VLOOKUP(A157,'Cadastro Geral Campistas'!$A:$R,15,0),"")))&lt;&gt;"não",LOWER(TRIM(IFERROR(VLOOKUP(A157,'Cadastro Geral Campistas'!$A:$R,15,0),"")))&lt;&gt;"nao",LOWER(TRIM(IFERROR(VLOOKUP(A157,'Cadastro Geral Campistas'!$A:$R,15,0),"")))&lt;&gt;"0"),"Alergia: "&amp;IFERROR(VLOOKUP(A157,'Cadastro Geral Campistas'!$A:$R,15,0),""),""))))</f>
        <v>Sim. Eliete Fátima (esposa), Catarina Elzi (conhecida) | Alergia: Não que eu saiba</v>
      </c>
      <c r="J157" s="58" t="str">
        <f>IFERROR(VLOOKUP(A157,'Cadastro Geral Campistas'!$A:$R,4,0),"")</f>
        <v>M</v>
      </c>
    </row>
    <row r="158" spans="1:10" ht="18" customHeight="1" x14ac:dyDescent="0.55000000000000004">
      <c r="A158" s="55">
        <v>16</v>
      </c>
      <c r="B158" s="3" t="str">
        <f>IFERROR(VLOOKUP(A158,'Cadastro Geral Campistas'!$A:$R,2,0),"")</f>
        <v>Bruno Aguiar</v>
      </c>
      <c r="C158" s="2">
        <f>IFERROR(VLOOKUP(A158,'Cadastro Geral Campistas'!$A:$R,5,0),"")</f>
        <v>85</v>
      </c>
      <c r="D158" s="2">
        <f>IFERROR(VLOOKUP(A158,'Cadastro Geral Campistas'!$A:$R,6,0),"")</f>
        <v>1.86</v>
      </c>
      <c r="E158" s="2">
        <f>IFERROR(VLOOKUP(A158,'Cadastro Geral Campistas'!$A:$R,7,0),"")</f>
        <v>43</v>
      </c>
      <c r="F158" s="3" t="str">
        <f>IFERROR(VLOOKUP(A158,'Cadastro Geral Campistas'!$A:$R,9,0),"")</f>
        <v>Goiânia</v>
      </c>
      <c r="G158" s="2" t="str">
        <f>IFERROR(VLOOKUP(A158,'Cadastro Geral Campistas'!$A:$R,3,0),"")</f>
        <v>G</v>
      </c>
      <c r="H158" s="3" t="str">
        <f>IFERROR(VLOOKUP(A158,'Cadastro Geral Campistas'!$A:$R,8,0),"")</f>
        <v>+55 (62) 98466-6696</v>
      </c>
      <c r="I158" s="103" t="str">
        <f>IF(AND(IFERROR(VLOOKUP(A158,'Cadastro Geral Campistas'!$A:$R,18,0),0)&gt;0,COUNTIF($A$149:$A$164,IFERROR(VLOOKUP(A158,'Cadastro Geral Campistas'!$A:$R,18,0),0))&gt;0),"⚠️ CONFLITO! Cônjuge na mesma tribo: "&amp;IFERROR(VLOOKUP(IFERROR(VLOOKUP(A158,'Cadastro Geral Campistas'!$A:$R,18,0),0),'Cadastro Geral Campistas'!$A:$R,2,""),""),TRIM(IF(AND(IFERROR(VLOOKUP(A158,'Cadastro Geral Campistas'!$A:$R,10,0),"")&lt;&gt;"",LOWER(TRIM(IFERROR(VLOOKUP(A158,'Cadastro Geral Campistas'!$A:$R,10,0),"")))&lt;&gt;"não",LOWER(TRIM(IFERROR(VLOOKUP(A158,'Cadastro Geral Campistas'!$A:$R,10,0),"")))&lt;&gt;"nao",LOWER(TRIM(IFERROR(VLOOKUP(A158,'Cadastro Geral Campistas'!$A:$R,10,0),"")))&lt;&gt;"0"),IFERROR(VLOOKUP(A158,'Cadastro Geral Campistas'!$A:$R,10,0),"")&amp;IF(AND(IFERROR(VLOOKUP(A158,'Cadastro Geral Campistas'!$A:$R,15,0),"")&lt;&gt;"",LOWER(TRIM(IFERROR(VLOOKUP(A158,'Cadastro Geral Campistas'!$A:$R,15,0),"")))&lt;&gt;"não",LOWER(TRIM(IFERROR(VLOOKUP(A158,'Cadastro Geral Campistas'!$A:$R,15,0),"")))&lt;&gt;"nao",LOWER(TRIM(IFERROR(VLOOKUP(A158,'Cadastro Geral Campistas'!$A:$R,15,0),"")))&lt;&gt;"0")," | Alergia: "&amp;IFERROR(VLOOKUP(A158,'Cadastro Geral Campistas'!$A:$R,15,0),""),""),IF(AND(IFERROR(VLOOKUP(A158,'Cadastro Geral Campistas'!$A:$R,15,0),"")&lt;&gt;"",LOWER(TRIM(IFERROR(VLOOKUP(A158,'Cadastro Geral Campistas'!$A:$R,15,0),"")))&lt;&gt;"não",LOWER(TRIM(IFERROR(VLOOKUP(A158,'Cadastro Geral Campistas'!$A:$R,15,0),"")))&lt;&gt;"nao",LOWER(TRIM(IFERROR(VLOOKUP(A158,'Cadastro Geral Campistas'!$A:$R,15,0),"")))&lt;&gt;"0"),"Alergia: "&amp;IFERROR(VLOOKUP(A158,'Cadastro Geral Campistas'!$A:$R,15,0),""),""))))</f>
        <v/>
      </c>
      <c r="J158" s="56" t="str">
        <f>IFERROR(VLOOKUP(A158,'Cadastro Geral Campistas'!$A:$R,4,0),"")</f>
        <v>M</v>
      </c>
    </row>
    <row r="159" spans="1:10" ht="18" customHeight="1" x14ac:dyDescent="0.55000000000000004">
      <c r="A159" s="57">
        <v>20</v>
      </c>
      <c r="B159" s="7" t="str">
        <f>IFERROR(VLOOKUP(A159,'Cadastro Geral Campistas'!$A:$R,2,0),"")</f>
        <v>Carlos euripedes Tavares</v>
      </c>
      <c r="C159" s="6">
        <f>IFERROR(VLOOKUP(A159,'Cadastro Geral Campistas'!$A:$R,5,0),"")</f>
        <v>70</v>
      </c>
      <c r="D159" s="6">
        <f>IFERROR(VLOOKUP(A159,'Cadastro Geral Campistas'!$A:$R,6,0),"")</f>
        <v>1.6</v>
      </c>
      <c r="E159" s="6">
        <f>IFERROR(VLOOKUP(A159,'Cadastro Geral Campistas'!$A:$R,7,0),"")</f>
        <v>71</v>
      </c>
      <c r="F159" s="7" t="str">
        <f>IFERROR(VLOOKUP(A159,'Cadastro Geral Campistas'!$A:$R,9,0),"")</f>
        <v>Goiânia</v>
      </c>
      <c r="G159" s="6" t="str">
        <f>IFERROR(VLOOKUP(A159,'Cadastro Geral Campistas'!$A:$R,3,0),"")</f>
        <v>M</v>
      </c>
      <c r="H159" s="7" t="str">
        <f>IFERROR(VLOOKUP(A159,'Cadastro Geral Campistas'!$A:$R,8,0),"")</f>
        <v>+55 (62) 99844-3069</v>
      </c>
      <c r="I159" s="101" t="str">
        <f>IF(AND(IFERROR(VLOOKUP(A159,'Cadastro Geral Campistas'!$A:$R,18,0),0)&gt;0,COUNTIF($A$149:$A$164,IFERROR(VLOOKUP(A159,'Cadastro Geral Campistas'!$A:$R,18,0),0))&gt;0),"⚠️ CONFLITO! Cônjuge na mesma tribo: "&amp;IFERROR(VLOOKUP(IFERROR(VLOOKUP(A159,'Cadastro Geral Campistas'!$A:$R,18,0),0),'Cadastro Geral Campistas'!$A:$R,2,""),""),TRIM(IF(AND(IFERROR(VLOOKUP(A159,'Cadastro Geral Campistas'!$A:$R,10,0),"")&lt;&gt;"",LOWER(TRIM(IFERROR(VLOOKUP(A159,'Cadastro Geral Campistas'!$A:$R,10,0),"")))&lt;&gt;"não",LOWER(TRIM(IFERROR(VLOOKUP(A159,'Cadastro Geral Campistas'!$A:$R,10,0),"")))&lt;&gt;"nao",LOWER(TRIM(IFERROR(VLOOKUP(A159,'Cadastro Geral Campistas'!$A:$R,10,0),"")))&lt;&gt;"0"),IFERROR(VLOOKUP(A159,'Cadastro Geral Campistas'!$A:$R,10,0),"")&amp;IF(AND(IFERROR(VLOOKUP(A159,'Cadastro Geral Campistas'!$A:$R,15,0),"")&lt;&gt;"",LOWER(TRIM(IFERROR(VLOOKUP(A159,'Cadastro Geral Campistas'!$A:$R,15,0),"")))&lt;&gt;"não",LOWER(TRIM(IFERROR(VLOOKUP(A159,'Cadastro Geral Campistas'!$A:$R,15,0),"")))&lt;&gt;"nao",LOWER(TRIM(IFERROR(VLOOKUP(A159,'Cadastro Geral Campistas'!$A:$R,15,0),"")))&lt;&gt;"0")," | Alergia: "&amp;IFERROR(VLOOKUP(A159,'Cadastro Geral Campistas'!$A:$R,15,0),""),""),IF(AND(IFERROR(VLOOKUP(A159,'Cadastro Geral Campistas'!$A:$R,15,0),"")&lt;&gt;"",LOWER(TRIM(IFERROR(VLOOKUP(A159,'Cadastro Geral Campistas'!$A:$R,15,0),"")))&lt;&gt;"não",LOWER(TRIM(IFERROR(VLOOKUP(A159,'Cadastro Geral Campistas'!$A:$R,15,0),"")))&lt;&gt;"nao",LOWER(TRIM(IFERROR(VLOOKUP(A159,'Cadastro Geral Campistas'!$A:$R,15,0),"")))&lt;&gt;"0"),"Alergia: "&amp;IFERROR(VLOOKUP(A159,'Cadastro Geral Campistas'!$A:$R,15,0),""),""))))</f>
        <v/>
      </c>
      <c r="J159" s="58" t="str">
        <f>IFERROR(VLOOKUP(A159,'Cadastro Geral Campistas'!$A:$R,4,0),"")</f>
        <v>M</v>
      </c>
    </row>
    <row r="160" spans="1:10" ht="18" customHeight="1" x14ac:dyDescent="0.55000000000000004">
      <c r="A160" s="55">
        <v>33</v>
      </c>
      <c r="B160" s="3" t="str">
        <f>IFERROR(VLOOKUP(A160,'Cadastro Geral Campistas'!$A:$R,2,0),"")</f>
        <v>Donizete Antonio de Oliveira</v>
      </c>
      <c r="C160" s="2">
        <f>IFERROR(VLOOKUP(A160,'Cadastro Geral Campistas'!$A:$R,5,0),"")</f>
        <v>95</v>
      </c>
      <c r="D160" s="2">
        <f>IFERROR(VLOOKUP(A160,'Cadastro Geral Campistas'!$A:$R,6,0),"")</f>
        <v>1.68</v>
      </c>
      <c r="E160" s="2">
        <f>IFERROR(VLOOKUP(A160,'Cadastro Geral Campistas'!$A:$R,7,0),"")</f>
        <v>63</v>
      </c>
      <c r="F160" s="3" t="str">
        <f>IFERROR(VLOOKUP(A160,'Cadastro Geral Campistas'!$A:$R,9,0),"")</f>
        <v>Vianópolis/Pires do Rio</v>
      </c>
      <c r="G160" s="2" t="str">
        <f>IFERROR(VLOOKUP(A160,'Cadastro Geral Campistas'!$A:$R,3,0),"")</f>
        <v>G</v>
      </c>
      <c r="H160" s="3" t="str">
        <f>IFERROR(VLOOKUP(A160,'Cadastro Geral Campistas'!$A:$R,8,0),"")</f>
        <v>+55 (62) 99661-4603</v>
      </c>
      <c r="I160" s="103" t="str">
        <f>IF(AND(IFERROR(VLOOKUP(A160,'Cadastro Geral Campistas'!$A:$R,18,0),0)&gt;0,COUNTIF($A$149:$A$164,IFERROR(VLOOKUP(A160,'Cadastro Geral Campistas'!$A:$R,18,0),0))&gt;0),"⚠️ CONFLITO! Cônjuge na mesma tribo: "&amp;IFERROR(VLOOKUP(IFERROR(VLOOKUP(A160,'Cadastro Geral Campistas'!$A:$R,18,0),0),'Cadastro Geral Campistas'!$A:$R,2,""),""),TRIM(IF(AND(IFERROR(VLOOKUP(A160,'Cadastro Geral Campistas'!$A:$R,10,0),"")&lt;&gt;"",LOWER(TRIM(IFERROR(VLOOKUP(A160,'Cadastro Geral Campistas'!$A:$R,10,0),"")))&lt;&gt;"não",LOWER(TRIM(IFERROR(VLOOKUP(A160,'Cadastro Geral Campistas'!$A:$R,10,0),"")))&lt;&gt;"nao",LOWER(TRIM(IFERROR(VLOOKUP(A160,'Cadastro Geral Campistas'!$A:$R,10,0),"")))&lt;&gt;"0"),IFERROR(VLOOKUP(A160,'Cadastro Geral Campistas'!$A:$R,10,0),"")&amp;IF(AND(IFERROR(VLOOKUP(A160,'Cadastro Geral Campistas'!$A:$R,15,0),"")&lt;&gt;"",LOWER(TRIM(IFERROR(VLOOKUP(A160,'Cadastro Geral Campistas'!$A:$R,15,0),"")))&lt;&gt;"não",LOWER(TRIM(IFERROR(VLOOKUP(A160,'Cadastro Geral Campistas'!$A:$R,15,0),"")))&lt;&gt;"nao",LOWER(TRIM(IFERROR(VLOOKUP(A160,'Cadastro Geral Campistas'!$A:$R,15,0),"")))&lt;&gt;"0")," | Alergia: "&amp;IFERROR(VLOOKUP(A160,'Cadastro Geral Campistas'!$A:$R,15,0),""),""),IF(AND(IFERROR(VLOOKUP(A160,'Cadastro Geral Campistas'!$A:$R,15,0),"")&lt;&gt;"",LOWER(TRIM(IFERROR(VLOOKUP(A160,'Cadastro Geral Campistas'!$A:$R,15,0),"")))&lt;&gt;"não",LOWER(TRIM(IFERROR(VLOOKUP(A160,'Cadastro Geral Campistas'!$A:$R,15,0),"")))&lt;&gt;"nao",LOWER(TRIM(IFERROR(VLOOKUP(A160,'Cadastro Geral Campistas'!$A:$R,15,0),"")))&lt;&gt;"0"),"Alergia: "&amp;IFERROR(VLOOKUP(A160,'Cadastro Geral Campistas'!$A:$R,15,0),""),""))))</f>
        <v>Dirce Lobo/ Vânia Oliveira/ Nilson Oliveira</v>
      </c>
      <c r="J160" s="56" t="str">
        <f>IFERROR(VLOOKUP(A160,'Cadastro Geral Campistas'!$A:$R,4,0),"")</f>
        <v>M</v>
      </c>
    </row>
    <row r="161" spans="1:10" ht="18" customHeight="1" x14ac:dyDescent="0.55000000000000004">
      <c r="A161" s="57">
        <v>41</v>
      </c>
      <c r="B161" s="7" t="str">
        <f>IFERROR(VLOOKUP(A161,'Cadastro Geral Campistas'!$A:$R,2,0),"")</f>
        <v>Felipe Carvalho De Matos</v>
      </c>
      <c r="C161" s="6">
        <f>IFERROR(VLOOKUP(A161,'Cadastro Geral Campistas'!$A:$R,5,0),"")</f>
        <v>62</v>
      </c>
      <c r="D161" s="6">
        <f>IFERROR(VLOOKUP(A161,'Cadastro Geral Campistas'!$A:$R,6,0),"")</f>
        <v>1.68</v>
      </c>
      <c r="E161" s="6">
        <f>IFERROR(VLOOKUP(A161,'Cadastro Geral Campistas'!$A:$R,7,0),"")</f>
        <v>28</v>
      </c>
      <c r="F161" s="7" t="str">
        <f>IFERROR(VLOOKUP(A161,'Cadastro Geral Campistas'!$A:$R,9,0),"")</f>
        <v>Goiânia</v>
      </c>
      <c r="G161" s="6" t="str">
        <f>IFERROR(VLOOKUP(A161,'Cadastro Geral Campistas'!$A:$R,3,0),"")</f>
        <v>P</v>
      </c>
      <c r="H161" s="7" t="str">
        <f>IFERROR(VLOOKUP(A161,'Cadastro Geral Campistas'!$A:$R,8,0),"")</f>
        <v>+55 (62) 99919-7733</v>
      </c>
      <c r="I161" s="101" t="str">
        <f>IF(AND(IFERROR(VLOOKUP(A161,'Cadastro Geral Campistas'!$A:$R,18,0),0)&gt;0,COUNTIF($A$149:$A$164,IFERROR(VLOOKUP(A161,'Cadastro Geral Campistas'!$A:$R,18,0),0))&gt;0),"⚠️ CONFLITO! Cônjuge na mesma tribo: "&amp;IFERROR(VLOOKUP(IFERROR(VLOOKUP(A161,'Cadastro Geral Campistas'!$A:$R,18,0),0),'Cadastro Geral Campistas'!$A:$R,2,""),""),TRIM(IF(AND(IFERROR(VLOOKUP(A161,'Cadastro Geral Campistas'!$A:$R,10,0),"")&lt;&gt;"",LOWER(TRIM(IFERROR(VLOOKUP(A161,'Cadastro Geral Campistas'!$A:$R,10,0),"")))&lt;&gt;"não",LOWER(TRIM(IFERROR(VLOOKUP(A161,'Cadastro Geral Campistas'!$A:$R,10,0),"")))&lt;&gt;"nao",LOWER(TRIM(IFERROR(VLOOKUP(A161,'Cadastro Geral Campistas'!$A:$R,10,0),"")))&lt;&gt;"0"),IFERROR(VLOOKUP(A161,'Cadastro Geral Campistas'!$A:$R,10,0),"")&amp;IF(AND(IFERROR(VLOOKUP(A161,'Cadastro Geral Campistas'!$A:$R,15,0),"")&lt;&gt;"",LOWER(TRIM(IFERROR(VLOOKUP(A161,'Cadastro Geral Campistas'!$A:$R,15,0),"")))&lt;&gt;"não",LOWER(TRIM(IFERROR(VLOOKUP(A161,'Cadastro Geral Campistas'!$A:$R,15,0),"")))&lt;&gt;"nao",LOWER(TRIM(IFERROR(VLOOKUP(A161,'Cadastro Geral Campistas'!$A:$R,15,0),"")))&lt;&gt;"0")," | Alergia: "&amp;IFERROR(VLOOKUP(A161,'Cadastro Geral Campistas'!$A:$R,15,0),""),""),IF(AND(IFERROR(VLOOKUP(A161,'Cadastro Geral Campistas'!$A:$R,15,0),"")&lt;&gt;"",LOWER(TRIM(IFERROR(VLOOKUP(A161,'Cadastro Geral Campistas'!$A:$R,15,0),"")))&lt;&gt;"não",LOWER(TRIM(IFERROR(VLOOKUP(A161,'Cadastro Geral Campistas'!$A:$R,15,0),"")))&lt;&gt;"nao",LOWER(TRIM(IFERROR(VLOOKUP(A161,'Cadastro Geral Campistas'!$A:$R,15,0),"")))&lt;&gt;"0"),"Alergia: "&amp;IFERROR(VLOOKUP(A161,'Cadastro Geral Campistas'!$A:$R,15,0),""),""))))</f>
        <v>Sim - Vanessa Samara</v>
      </c>
      <c r="J161" s="58" t="str">
        <f>IFERROR(VLOOKUP(A161,'Cadastro Geral Campistas'!$A:$R,4,0),"")</f>
        <v>M</v>
      </c>
    </row>
    <row r="162" spans="1:10" ht="18" customHeight="1" x14ac:dyDescent="0.55000000000000004">
      <c r="A162" s="80">
        <v>52</v>
      </c>
      <c r="B162" s="31" t="str">
        <f>IFERROR(VLOOKUP(A162,'Cadastro Geral Campistas'!$A:$R,2,0),"")</f>
        <v>Gustavo Henrique da Silva Rezende</v>
      </c>
      <c r="C162" s="32">
        <f>IFERROR(VLOOKUP(A162,'Cadastro Geral Campistas'!$A:$R,5,0),"")</f>
        <v>85</v>
      </c>
      <c r="D162" s="32">
        <f>IFERROR(VLOOKUP(A162,'Cadastro Geral Campistas'!$A:$R,6,0),"")</f>
        <v>1.77</v>
      </c>
      <c r="E162" s="32">
        <f>IFERROR(VLOOKUP(A162,'Cadastro Geral Campistas'!$A:$R,7,0),"")</f>
        <v>22</v>
      </c>
      <c r="F162" s="31" t="str">
        <f>IFERROR(VLOOKUP(A162,'Cadastro Geral Campistas'!$A:$R,9,0),"")</f>
        <v>Piracanjuba</v>
      </c>
      <c r="G162" s="32" t="str">
        <f>IFERROR(VLOOKUP(A162,'Cadastro Geral Campistas'!$A:$R,3,0),"")</f>
        <v>G</v>
      </c>
      <c r="H162" s="31" t="str">
        <f>IFERROR(VLOOKUP(A162,'Cadastro Geral Campistas'!$A:$R,8,0),"")</f>
        <v>+55 (64) 99200-2451</v>
      </c>
      <c r="I162" s="109" t="str">
        <f>IF(AND(IFERROR(VLOOKUP(A162,'Cadastro Geral Campistas'!$A:$R,18,0),0)&gt;0,COUNTIF($A$149:$A$164,IFERROR(VLOOKUP(A162,'Cadastro Geral Campistas'!$A:$R,18,0),0))&gt;0),"⚠️ CONFLITO! Cônjuge na mesma tribo: "&amp;IFERROR(VLOOKUP(IFERROR(VLOOKUP(A162,'Cadastro Geral Campistas'!$A:$R,18,0),0),'Cadastro Geral Campistas'!$A:$R,2,""),""),TRIM(IF(AND(IFERROR(VLOOKUP(A162,'Cadastro Geral Campistas'!$A:$R,10,0),"")&lt;&gt;"",LOWER(TRIM(IFERROR(VLOOKUP(A162,'Cadastro Geral Campistas'!$A:$R,10,0),"")))&lt;&gt;"não",LOWER(TRIM(IFERROR(VLOOKUP(A162,'Cadastro Geral Campistas'!$A:$R,10,0),"")))&lt;&gt;"nao",LOWER(TRIM(IFERROR(VLOOKUP(A162,'Cadastro Geral Campistas'!$A:$R,10,0),"")))&lt;&gt;"0"),IFERROR(VLOOKUP(A162,'Cadastro Geral Campistas'!$A:$R,10,0),"")&amp;IF(AND(IFERROR(VLOOKUP(A162,'Cadastro Geral Campistas'!$A:$R,15,0),"")&lt;&gt;"",LOWER(TRIM(IFERROR(VLOOKUP(A162,'Cadastro Geral Campistas'!$A:$R,15,0),"")))&lt;&gt;"não",LOWER(TRIM(IFERROR(VLOOKUP(A162,'Cadastro Geral Campistas'!$A:$R,15,0),"")))&lt;&gt;"nao",LOWER(TRIM(IFERROR(VLOOKUP(A162,'Cadastro Geral Campistas'!$A:$R,15,0),"")))&lt;&gt;"0")," | Alergia: "&amp;IFERROR(VLOOKUP(A162,'Cadastro Geral Campistas'!$A:$R,15,0),""),""),IF(AND(IFERROR(VLOOKUP(A162,'Cadastro Geral Campistas'!$A:$R,15,0),"")&lt;&gt;"",LOWER(TRIM(IFERROR(VLOOKUP(A162,'Cadastro Geral Campistas'!$A:$R,15,0),"")))&lt;&gt;"não",LOWER(TRIM(IFERROR(VLOOKUP(A162,'Cadastro Geral Campistas'!$A:$R,15,0),"")))&lt;&gt;"nao",LOWER(TRIM(IFERROR(VLOOKUP(A162,'Cadastro Geral Campistas'!$A:$R,15,0),"")))&lt;&gt;"0"),"Alergia: "&amp;IFERROR(VLOOKUP(A162,'Cadastro Geral Campistas'!$A:$R,15,0),""),""))))</f>
        <v/>
      </c>
      <c r="J162" s="81" t="str">
        <f>IFERROR(VLOOKUP(A162,'Cadastro Geral Campistas'!$A:$R,4,0),"")</f>
        <v>M</v>
      </c>
    </row>
    <row r="163" spans="1:10" ht="18" customHeight="1" x14ac:dyDescent="0.55000000000000004">
      <c r="A163" s="57">
        <v>115</v>
      </c>
      <c r="B163" s="7" t="str">
        <f>IFERROR(VLOOKUP(A163,'Cadastro Geral Campistas'!$A:$R,2,0),"")</f>
        <v>Pedro Paulo Barbosa Ferraz</v>
      </c>
      <c r="C163" s="6">
        <f>IFERROR(VLOOKUP(A163,'Cadastro Geral Campistas'!$A:$R,5,0),"")</f>
        <v>94</v>
      </c>
      <c r="D163" s="6">
        <f>IFERROR(VLOOKUP(A163,'Cadastro Geral Campistas'!$A:$R,6,0),"")</f>
        <v>1.8</v>
      </c>
      <c r="E163" s="6">
        <f>IFERROR(VLOOKUP(A163,'Cadastro Geral Campistas'!$A:$R,7,0),"")</f>
        <v>22</v>
      </c>
      <c r="F163" s="7" t="str">
        <f>IFERROR(VLOOKUP(A163,'Cadastro Geral Campistas'!$A:$R,9,0),"")</f>
        <v>Goiânia</v>
      </c>
      <c r="G163" s="6" t="str">
        <f>IFERROR(VLOOKUP(A163,'Cadastro Geral Campistas'!$A:$R,3,0),"")</f>
        <v>GG</v>
      </c>
      <c r="H163" s="7" t="str">
        <f>IFERROR(VLOOKUP(A163,'Cadastro Geral Campistas'!$A:$R,8,0),"")</f>
        <v>+55 (62) 99203-0273</v>
      </c>
      <c r="I163" s="101" t="str">
        <f>IF(AND(IFERROR(VLOOKUP(A163,'Cadastro Geral Campistas'!$A:$R,18,0),0)&gt;0,COUNTIF($A$149:$A$164,IFERROR(VLOOKUP(A163,'Cadastro Geral Campistas'!$A:$R,18,0),0))&gt;0),"⚠️ CONFLITO! Cônjuge na mesma tribo: "&amp;IFERROR(VLOOKUP(IFERROR(VLOOKUP(A163,'Cadastro Geral Campistas'!$A:$R,18,0),0),'Cadastro Geral Campistas'!$A:$R,2,""),""),TRIM(IF(AND(IFERROR(VLOOKUP(A163,'Cadastro Geral Campistas'!$A:$R,10,0),"")&lt;&gt;"",LOWER(TRIM(IFERROR(VLOOKUP(A163,'Cadastro Geral Campistas'!$A:$R,10,0),"")))&lt;&gt;"não",LOWER(TRIM(IFERROR(VLOOKUP(A163,'Cadastro Geral Campistas'!$A:$R,10,0),"")))&lt;&gt;"nao",LOWER(TRIM(IFERROR(VLOOKUP(A163,'Cadastro Geral Campistas'!$A:$R,10,0),"")))&lt;&gt;"0"),IFERROR(VLOOKUP(A163,'Cadastro Geral Campistas'!$A:$R,10,0),"")&amp;IF(AND(IFERROR(VLOOKUP(A163,'Cadastro Geral Campistas'!$A:$R,15,0),"")&lt;&gt;"",LOWER(TRIM(IFERROR(VLOOKUP(A163,'Cadastro Geral Campistas'!$A:$R,15,0),"")))&lt;&gt;"não",LOWER(TRIM(IFERROR(VLOOKUP(A163,'Cadastro Geral Campistas'!$A:$R,15,0),"")))&lt;&gt;"nao",LOWER(TRIM(IFERROR(VLOOKUP(A163,'Cadastro Geral Campistas'!$A:$R,15,0),"")))&lt;&gt;"0")," | Alergia: "&amp;IFERROR(VLOOKUP(A163,'Cadastro Geral Campistas'!$A:$R,15,0),""),""),IF(AND(IFERROR(VLOOKUP(A163,'Cadastro Geral Campistas'!$A:$R,15,0),"")&lt;&gt;"",LOWER(TRIM(IFERROR(VLOOKUP(A163,'Cadastro Geral Campistas'!$A:$R,15,0),"")))&lt;&gt;"não",LOWER(TRIM(IFERROR(VLOOKUP(A163,'Cadastro Geral Campistas'!$A:$R,15,0),"")))&lt;&gt;"nao",LOWER(TRIM(IFERROR(VLOOKUP(A163,'Cadastro Geral Campistas'!$A:$R,15,0),"")))&lt;&gt;"0"),"Alergia: "&amp;IFERROR(VLOOKUP(A163,'Cadastro Geral Campistas'!$A:$R,15,0),""),""))))</f>
        <v>Alergia: Xarope</v>
      </c>
      <c r="J163" s="58" t="str">
        <f>IFERROR(VLOOKUP(A163,'Cadastro Geral Campistas'!$A:$R,4,0),"")</f>
        <v>M</v>
      </c>
    </row>
    <row r="164" spans="1:10" ht="18" customHeight="1" x14ac:dyDescent="0.55000000000000004">
      <c r="A164" s="80">
        <v>131</v>
      </c>
      <c r="B164" s="31" t="str">
        <f>IFERROR(VLOOKUP(A164,'Cadastro Geral Campistas'!$A:$R,2,0),"")</f>
        <v>Thiago Machado dos Santos</v>
      </c>
      <c r="C164" s="32">
        <f>IFERROR(VLOOKUP(A164,'Cadastro Geral Campistas'!$A:$R,5,0),"")</f>
        <v>0</v>
      </c>
      <c r="D164" s="32">
        <f>IFERROR(VLOOKUP(A164,'Cadastro Geral Campistas'!$A:$R,6,0),"")</f>
        <v>1.82</v>
      </c>
      <c r="E164" s="32">
        <f>IFERROR(VLOOKUP(A164,'Cadastro Geral Campistas'!$A:$R,7,0),"")</f>
        <v>41</v>
      </c>
      <c r="F164" s="31" t="str">
        <f>IFERROR(VLOOKUP(A164,'Cadastro Geral Campistas'!$A:$R,9,0),"")</f>
        <v>Goiânia</v>
      </c>
      <c r="G164" s="32" t="str">
        <f>IFERROR(VLOOKUP(A164,'Cadastro Geral Campistas'!$A:$R,3,0),"")</f>
        <v>G</v>
      </c>
      <c r="H164" s="31" t="str">
        <f>IFERROR(VLOOKUP(A164,'Cadastro Geral Campistas'!$A:$R,8,0),"")</f>
        <v>+55 (62) 98577-8513</v>
      </c>
      <c r="I164" s="109" t="str">
        <f>IF(AND(IFERROR(VLOOKUP(A164,'Cadastro Geral Campistas'!$A:$R,18,0),0)&gt;0,COUNTIF($A$149:$A$164,IFERROR(VLOOKUP(A164,'Cadastro Geral Campistas'!$A:$R,18,0),0))&gt;0),"⚠️ CONFLITO! Cônjuge na mesma tribo: "&amp;IFERROR(VLOOKUP(IFERROR(VLOOKUP(A164,'Cadastro Geral Campistas'!$A:$R,18,0),0),'Cadastro Geral Campistas'!$A:$R,2,""),""),TRIM(IF(AND(IFERROR(VLOOKUP(A164,'Cadastro Geral Campistas'!$A:$R,10,0),"")&lt;&gt;"",LOWER(TRIM(IFERROR(VLOOKUP(A164,'Cadastro Geral Campistas'!$A:$R,10,0),"")))&lt;&gt;"não",LOWER(TRIM(IFERROR(VLOOKUP(A164,'Cadastro Geral Campistas'!$A:$R,10,0),"")))&lt;&gt;"nao",LOWER(TRIM(IFERROR(VLOOKUP(A164,'Cadastro Geral Campistas'!$A:$R,10,0),"")))&lt;&gt;"0"),IFERROR(VLOOKUP(A164,'Cadastro Geral Campistas'!$A:$R,10,0),"")&amp;IF(AND(IFERROR(VLOOKUP(A164,'Cadastro Geral Campistas'!$A:$R,15,0),"")&lt;&gt;"",LOWER(TRIM(IFERROR(VLOOKUP(A164,'Cadastro Geral Campistas'!$A:$R,15,0),"")))&lt;&gt;"não",LOWER(TRIM(IFERROR(VLOOKUP(A164,'Cadastro Geral Campistas'!$A:$R,15,0),"")))&lt;&gt;"nao",LOWER(TRIM(IFERROR(VLOOKUP(A164,'Cadastro Geral Campistas'!$A:$R,15,0),"")))&lt;&gt;"0")," | Alergia: "&amp;IFERROR(VLOOKUP(A164,'Cadastro Geral Campistas'!$A:$R,15,0),""),""),IF(AND(IFERROR(VLOOKUP(A164,'Cadastro Geral Campistas'!$A:$R,15,0),"")&lt;&gt;"",LOWER(TRIM(IFERROR(VLOOKUP(A164,'Cadastro Geral Campistas'!$A:$R,15,0),"")))&lt;&gt;"não",LOWER(TRIM(IFERROR(VLOOKUP(A164,'Cadastro Geral Campistas'!$A:$R,15,0),"")))&lt;&gt;"nao",LOWER(TRIM(IFERROR(VLOOKUP(A164,'Cadastro Geral Campistas'!$A:$R,15,0),"")))&lt;&gt;"0"),"Alergia: "&amp;IFERROR(VLOOKUP(A164,'Cadastro Geral Campistas'!$A:$R,15,0),""),""))))</f>
        <v>Maria Clara Silva Scarpa</v>
      </c>
      <c r="J164" s="81" t="str">
        <f>IFERROR(VLOOKUP(A164,'Cadastro Geral Campistas'!$A:$R,4,0),"")</f>
        <v>M</v>
      </c>
    </row>
    <row r="165" spans="1:10" x14ac:dyDescent="0.55000000000000004">
      <c r="A165" s="61" t="s">
        <v>17</v>
      </c>
      <c r="B165" s="20"/>
      <c r="C165" s="20">
        <f>IFERROR(ROUND(AVERAGE(C149:C164),1),"")</f>
        <v>70</v>
      </c>
      <c r="D165" s="20"/>
      <c r="E165" s="20">
        <f>IFERROR(ROUND(AVERAGE(E149:E164),1),"")</f>
        <v>43.3</v>
      </c>
      <c r="F165" s="117"/>
      <c r="G165" s="117"/>
      <c r="H165" s="117"/>
      <c r="I165" s="126" t="str">
        <f>COUNTIF(J149:J164,"F")&amp;"  F    |    "&amp;COUNTIF(J149:J164,"M")&amp;"  M"</f>
        <v>8  F    |    8  M</v>
      </c>
      <c r="J165" s="127"/>
    </row>
    <row r="166" spans="1:10" x14ac:dyDescent="0.55000000000000004">
      <c r="A166" s="118"/>
      <c r="B166" s="119"/>
      <c r="C166" s="119"/>
      <c r="D166" s="119"/>
      <c r="E166" s="119"/>
      <c r="F166" s="119"/>
      <c r="G166" s="119"/>
      <c r="H166" s="119"/>
      <c r="I166" s="138" t="s">
        <v>18</v>
      </c>
      <c r="J166" s="131"/>
    </row>
    <row r="167" spans="1:10" x14ac:dyDescent="0.55000000000000004">
      <c r="A167" s="120"/>
      <c r="B167" s="121"/>
      <c r="C167" s="121"/>
      <c r="D167" s="121"/>
      <c r="E167" s="121"/>
      <c r="F167" s="121"/>
      <c r="G167" s="121"/>
      <c r="H167" s="121"/>
      <c r="I167" s="124" t="s">
        <v>75</v>
      </c>
      <c r="J167" s="125"/>
    </row>
    <row r="168" spans="1:10" x14ac:dyDescent="0.55000000000000004">
      <c r="A168" s="120"/>
      <c r="B168" s="121"/>
      <c r="C168" s="121"/>
      <c r="D168" s="121"/>
      <c r="E168" s="121"/>
      <c r="F168" s="121"/>
      <c r="G168" s="121"/>
      <c r="H168" s="121"/>
      <c r="I168" s="124" t="s">
        <v>76</v>
      </c>
      <c r="J168" s="125"/>
    </row>
    <row r="169" spans="1:10" x14ac:dyDescent="0.55000000000000004">
      <c r="A169" s="120"/>
      <c r="B169" s="121"/>
      <c r="C169" s="121"/>
      <c r="D169" s="121"/>
      <c r="E169" s="121"/>
      <c r="F169" s="121"/>
      <c r="G169" s="121"/>
      <c r="H169" s="121"/>
      <c r="I169" s="124" t="s">
        <v>77</v>
      </c>
      <c r="J169" s="125"/>
    </row>
    <row r="170" spans="1:10" x14ac:dyDescent="0.55000000000000004">
      <c r="A170" s="120"/>
      <c r="B170" s="121"/>
      <c r="C170" s="121"/>
      <c r="D170" s="121"/>
      <c r="E170" s="121"/>
      <c r="F170" s="121"/>
      <c r="G170" s="121"/>
      <c r="H170" s="121"/>
      <c r="I170" s="124" t="s">
        <v>78</v>
      </c>
      <c r="J170" s="125"/>
    </row>
    <row r="171" spans="1:10" x14ac:dyDescent="0.55000000000000004">
      <c r="A171" s="120"/>
      <c r="B171" s="121"/>
      <c r="C171" s="121"/>
      <c r="D171" s="121"/>
      <c r="E171" s="121"/>
      <c r="F171" s="121"/>
      <c r="G171" s="121"/>
      <c r="H171" s="121"/>
      <c r="I171" s="124" t="s">
        <v>79</v>
      </c>
      <c r="J171" s="125"/>
    </row>
    <row r="172" spans="1:10" x14ac:dyDescent="0.55000000000000004">
      <c r="A172" s="120"/>
      <c r="B172" s="121"/>
      <c r="C172" s="121"/>
      <c r="D172" s="121"/>
      <c r="E172" s="121"/>
      <c r="F172" s="121"/>
      <c r="G172" s="121"/>
      <c r="H172" s="121"/>
      <c r="I172" s="124" t="s">
        <v>80</v>
      </c>
      <c r="J172" s="125"/>
    </row>
    <row r="173" spans="1:10" x14ac:dyDescent="0.55000000000000004">
      <c r="A173" s="120"/>
      <c r="B173" s="121"/>
      <c r="C173" s="121"/>
      <c r="D173" s="121"/>
      <c r="E173" s="121"/>
      <c r="F173" s="121"/>
      <c r="G173" s="121"/>
      <c r="H173" s="121"/>
      <c r="I173" s="124" t="s">
        <v>81</v>
      </c>
      <c r="J173" s="125"/>
    </row>
    <row r="174" spans="1:10" x14ac:dyDescent="0.55000000000000004">
      <c r="A174" s="120"/>
      <c r="B174" s="121"/>
      <c r="C174" s="121"/>
      <c r="D174" s="121"/>
      <c r="E174" s="121"/>
      <c r="F174" s="121"/>
      <c r="G174" s="121"/>
      <c r="H174" s="121"/>
      <c r="I174" s="124" t="s">
        <v>82</v>
      </c>
      <c r="J174" s="125"/>
    </row>
    <row r="175" spans="1:10" ht="14.7" customHeight="1" thickBot="1" x14ac:dyDescent="0.6">
      <c r="A175" s="122"/>
      <c r="B175" s="123"/>
      <c r="C175" s="123"/>
      <c r="D175" s="123"/>
      <c r="E175" s="123"/>
      <c r="F175" s="123"/>
      <c r="G175" s="123"/>
      <c r="H175" s="123"/>
      <c r="I175" s="132" t="s">
        <v>83</v>
      </c>
      <c r="J175" s="133"/>
    </row>
    <row r="176" spans="1:10" ht="28" customHeight="1" x14ac:dyDescent="0.55000000000000004">
      <c r="A176" s="135" t="s">
        <v>84</v>
      </c>
      <c r="B176" s="136"/>
      <c r="C176" s="136"/>
      <c r="D176" s="136"/>
      <c r="E176" s="176" t="s">
        <v>85</v>
      </c>
      <c r="F176" s="136"/>
      <c r="G176" s="136"/>
      <c r="H176" s="136"/>
      <c r="I176" s="136"/>
      <c r="J176" s="144"/>
    </row>
    <row r="177" spans="1:10" x14ac:dyDescent="0.55000000000000004">
      <c r="A177" s="149" t="s">
        <v>2</v>
      </c>
      <c r="B177" s="121"/>
      <c r="C177" s="121"/>
      <c r="D177" s="128"/>
      <c r="E177" s="121"/>
      <c r="F177" s="121"/>
      <c r="G177" s="140" t="s">
        <v>3</v>
      </c>
      <c r="H177" s="121"/>
      <c r="I177" s="121"/>
      <c r="J177" s="125"/>
    </row>
    <row r="178" spans="1:10" x14ac:dyDescent="0.55000000000000004">
      <c r="A178" s="120"/>
      <c r="B178" s="121"/>
      <c r="C178" s="121"/>
      <c r="D178" s="121"/>
      <c r="E178" s="121"/>
      <c r="F178" s="121"/>
      <c r="G178" s="121"/>
      <c r="H178" s="121"/>
      <c r="I178" s="121"/>
      <c r="J178" s="125"/>
    </row>
    <row r="179" spans="1:10" x14ac:dyDescent="0.55000000000000004">
      <c r="A179" s="120"/>
      <c r="B179" s="121"/>
      <c r="C179" s="121"/>
      <c r="D179" s="121"/>
      <c r="E179" s="121"/>
      <c r="F179" s="121"/>
      <c r="G179" s="121"/>
      <c r="H179" s="121"/>
      <c r="I179" s="121"/>
      <c r="J179" s="125"/>
    </row>
    <row r="180" spans="1:10" x14ac:dyDescent="0.55000000000000004">
      <c r="A180" s="137" t="s">
        <v>86</v>
      </c>
      <c r="B180" s="121"/>
      <c r="C180" s="121"/>
      <c r="D180" s="121"/>
      <c r="E180" s="121"/>
      <c r="F180" s="121"/>
      <c r="G180" s="182" t="s">
        <v>87</v>
      </c>
      <c r="H180" s="121"/>
      <c r="I180" s="121"/>
      <c r="J180" s="125"/>
    </row>
    <row r="181" spans="1:10" x14ac:dyDescent="0.55000000000000004">
      <c r="A181" s="137" t="s">
        <v>88</v>
      </c>
      <c r="B181" s="121"/>
      <c r="C181" s="121"/>
      <c r="D181" s="121"/>
      <c r="E181" s="121"/>
      <c r="F181" s="121"/>
      <c r="J181" s="52"/>
    </row>
    <row r="182" spans="1:10" x14ac:dyDescent="0.55000000000000004">
      <c r="A182" s="77"/>
      <c r="D182" s="129"/>
      <c r="E182" s="129"/>
      <c r="F182" s="129"/>
      <c r="J182" s="52"/>
    </row>
    <row r="183" spans="1:10" x14ac:dyDescent="0.55000000000000004">
      <c r="A183" s="82" t="s">
        <v>7</v>
      </c>
      <c r="B183" s="33" t="s">
        <v>8</v>
      </c>
      <c r="C183" s="33" t="s">
        <v>9</v>
      </c>
      <c r="D183" s="33" t="s">
        <v>10</v>
      </c>
      <c r="E183" s="33" t="s">
        <v>11</v>
      </c>
      <c r="F183" s="33" t="s">
        <v>12</v>
      </c>
      <c r="G183" s="33" t="s">
        <v>13</v>
      </c>
      <c r="H183" s="33" t="s">
        <v>14</v>
      </c>
      <c r="I183" s="33" t="s">
        <v>15</v>
      </c>
      <c r="J183" s="83" t="s">
        <v>16</v>
      </c>
    </row>
    <row r="184" spans="1:10" ht="18" customHeight="1" x14ac:dyDescent="0.55000000000000004">
      <c r="A184" s="57">
        <v>23</v>
      </c>
      <c r="B184" s="7" t="str">
        <f>IFERROR(VLOOKUP(A184,'Cadastro Geral Campistas'!$A:$R,2,0),"")</f>
        <v>Catarina Elzi de Oliveira</v>
      </c>
      <c r="C184" s="6">
        <f>IFERROR(VLOOKUP(A184,'Cadastro Geral Campistas'!$A:$R,5,0),"")</f>
        <v>70</v>
      </c>
      <c r="D184" s="6">
        <f>IFERROR(VLOOKUP(A184,'Cadastro Geral Campistas'!$A:$R,6,0),"")</f>
        <v>1.56</v>
      </c>
      <c r="E184" s="6">
        <f>IFERROR(VLOOKUP(A184,'Cadastro Geral Campistas'!$A:$R,7,0),"")</f>
        <v>72</v>
      </c>
      <c r="F184" s="7" t="str">
        <f>IFERROR(VLOOKUP(A184,'Cadastro Geral Campistas'!$A:$R,9,0),"")</f>
        <v>Jussara</v>
      </c>
      <c r="G184" s="6" t="str">
        <f>IFERROR(VLOOKUP(A184,'Cadastro Geral Campistas'!$A:$R,3,0),"")</f>
        <v>G</v>
      </c>
      <c r="H184" s="7" t="str">
        <f>IFERROR(VLOOKUP(A184,'Cadastro Geral Campistas'!$A:$R,8,0),"")</f>
        <v>+55 (34) 99902-0453</v>
      </c>
      <c r="I184" s="101" t="str">
        <f>IF(AND(IFERROR(VLOOKUP(A184,'Cadastro Geral Campistas'!$A:$R,18,0),0)&gt;0,COUNTIF($A$184:$A$199,IFERROR(VLOOKUP(A184,'Cadastro Geral Campistas'!$A:$R,18,0),0))&gt;0),"⚠️ CONFLITO! Cônjuge na mesma tribo: "&amp;IFERROR(VLOOKUP(IFERROR(VLOOKUP(A184,'Cadastro Geral Campistas'!$A:$R,18,0),0),'Cadastro Geral Campistas'!$A:$R,2,""),""),TRIM(IF(AND(IFERROR(VLOOKUP(A184,'Cadastro Geral Campistas'!$A:$R,10,0),"")&lt;&gt;"",LOWER(TRIM(IFERROR(VLOOKUP(A184,'Cadastro Geral Campistas'!$A:$R,10,0),"")))&lt;&gt;"não",LOWER(TRIM(IFERROR(VLOOKUP(A184,'Cadastro Geral Campistas'!$A:$R,10,0),"")))&lt;&gt;"nao",LOWER(TRIM(IFERROR(VLOOKUP(A184,'Cadastro Geral Campistas'!$A:$R,10,0),"")))&lt;&gt;"0"),IFERROR(VLOOKUP(A184,'Cadastro Geral Campistas'!$A:$R,10,0),"")&amp;IF(AND(IFERROR(VLOOKUP(A184,'Cadastro Geral Campistas'!$A:$R,15,0),"")&lt;&gt;"",LOWER(TRIM(IFERROR(VLOOKUP(A184,'Cadastro Geral Campistas'!$A:$R,15,0),"")))&lt;&gt;"não",LOWER(TRIM(IFERROR(VLOOKUP(A184,'Cadastro Geral Campistas'!$A:$R,15,0),"")))&lt;&gt;"nao",LOWER(TRIM(IFERROR(VLOOKUP(A184,'Cadastro Geral Campistas'!$A:$R,15,0),"")))&lt;&gt;"0")," | Alergia: "&amp;IFERROR(VLOOKUP(A184,'Cadastro Geral Campistas'!$A:$R,15,0),""),""),IF(AND(IFERROR(VLOOKUP(A184,'Cadastro Geral Campistas'!$A:$R,15,0),"")&lt;&gt;"",LOWER(TRIM(IFERROR(VLOOKUP(A184,'Cadastro Geral Campistas'!$A:$R,15,0),"")))&lt;&gt;"não",LOWER(TRIM(IFERROR(VLOOKUP(A184,'Cadastro Geral Campistas'!$A:$R,15,0),"")))&lt;&gt;"nao",LOWER(TRIM(IFERROR(VLOOKUP(A184,'Cadastro Geral Campistas'!$A:$R,15,0),"")))&lt;&gt;"0"),"Alergia: "&amp;IFERROR(VLOOKUP(A184,'Cadastro Geral Campistas'!$A:$R,15,0),""),""))))</f>
        <v>Sim. Eliete e Adejar. | Alergia: Que saiba não</v>
      </c>
      <c r="J184" s="58" t="str">
        <f>IFERROR(VLOOKUP(A184,'Cadastro Geral Campistas'!$A:$R,4,0),"")</f>
        <v>F</v>
      </c>
    </row>
    <row r="185" spans="1:10" ht="18" customHeight="1" x14ac:dyDescent="0.55000000000000004">
      <c r="A185" s="84">
        <v>57</v>
      </c>
      <c r="B185" s="34" t="str">
        <f>IFERROR(VLOOKUP(A185,'Cadastro Geral Campistas'!$A:$R,2,0),"")</f>
        <v>Isadora Silva Salomão</v>
      </c>
      <c r="C185" s="35">
        <f>IFERROR(VLOOKUP(A185,'Cadastro Geral Campistas'!$A:$R,5,0),"")</f>
        <v>90</v>
      </c>
      <c r="D185" s="35">
        <f>IFERROR(VLOOKUP(A185,'Cadastro Geral Campistas'!$A:$R,6,0),"")</f>
        <v>1.7</v>
      </c>
      <c r="E185" s="35">
        <f>IFERROR(VLOOKUP(A185,'Cadastro Geral Campistas'!$A:$R,7,0),"")</f>
        <v>26</v>
      </c>
      <c r="F185" s="34" t="str">
        <f>IFERROR(VLOOKUP(A185,'Cadastro Geral Campistas'!$A:$R,9,0),"")</f>
        <v>Goiânia</v>
      </c>
      <c r="G185" s="35" t="str">
        <f>IFERROR(VLOOKUP(A185,'Cadastro Geral Campistas'!$A:$R,3,0),"")</f>
        <v>GG</v>
      </c>
      <c r="H185" s="34" t="str">
        <f>IFERROR(VLOOKUP(A185,'Cadastro Geral Campistas'!$A:$R,8,0),"")</f>
        <v>+55 (61) 99639-5330</v>
      </c>
      <c r="I185" s="110" t="str">
        <f>IF(AND(IFERROR(VLOOKUP(A185,'Cadastro Geral Campistas'!$A:$R,18,0),0)&gt;0,COUNTIF($A$184:$A$199,IFERROR(VLOOKUP(A185,'Cadastro Geral Campistas'!$A:$R,18,0),0))&gt;0),"⚠️ CONFLITO! Cônjuge na mesma tribo: "&amp;IFERROR(VLOOKUP(IFERROR(VLOOKUP(A185,'Cadastro Geral Campistas'!$A:$R,18,0),0),'Cadastro Geral Campistas'!$A:$R,2,""),""),TRIM(IF(AND(IFERROR(VLOOKUP(A185,'Cadastro Geral Campistas'!$A:$R,10,0),"")&lt;&gt;"",LOWER(TRIM(IFERROR(VLOOKUP(A185,'Cadastro Geral Campistas'!$A:$R,10,0),"")))&lt;&gt;"não",LOWER(TRIM(IFERROR(VLOOKUP(A185,'Cadastro Geral Campistas'!$A:$R,10,0),"")))&lt;&gt;"nao",LOWER(TRIM(IFERROR(VLOOKUP(A185,'Cadastro Geral Campistas'!$A:$R,10,0),"")))&lt;&gt;"0"),IFERROR(VLOOKUP(A185,'Cadastro Geral Campistas'!$A:$R,10,0),"")&amp;IF(AND(IFERROR(VLOOKUP(A185,'Cadastro Geral Campistas'!$A:$R,15,0),"")&lt;&gt;"",LOWER(TRIM(IFERROR(VLOOKUP(A185,'Cadastro Geral Campistas'!$A:$R,15,0),"")))&lt;&gt;"não",LOWER(TRIM(IFERROR(VLOOKUP(A185,'Cadastro Geral Campistas'!$A:$R,15,0),"")))&lt;&gt;"nao",LOWER(TRIM(IFERROR(VLOOKUP(A185,'Cadastro Geral Campistas'!$A:$R,15,0),"")))&lt;&gt;"0")," | Alergia: "&amp;IFERROR(VLOOKUP(A185,'Cadastro Geral Campistas'!$A:$R,15,0),""),""),IF(AND(IFERROR(VLOOKUP(A185,'Cadastro Geral Campistas'!$A:$R,15,0),"")&lt;&gt;"",LOWER(TRIM(IFERROR(VLOOKUP(A185,'Cadastro Geral Campistas'!$A:$R,15,0),"")))&lt;&gt;"não",LOWER(TRIM(IFERROR(VLOOKUP(A185,'Cadastro Geral Campistas'!$A:$R,15,0),"")))&lt;&gt;"nao",LOWER(TRIM(IFERROR(VLOOKUP(A185,'Cadastro Geral Campistas'!$A:$R,15,0),"")))&lt;&gt;"0"),"Alergia: "&amp;IFERROR(VLOOKUP(A185,'Cadastro Geral Campistas'!$A:$R,15,0),""),""))))</f>
        <v/>
      </c>
      <c r="J185" s="85" t="str">
        <f>IFERROR(VLOOKUP(A185,'Cadastro Geral Campistas'!$A:$R,4,0),"")</f>
        <v>F</v>
      </c>
    </row>
    <row r="186" spans="1:10" ht="18" customHeight="1" x14ac:dyDescent="0.55000000000000004">
      <c r="A186" s="57">
        <v>75</v>
      </c>
      <c r="B186" s="7" t="str">
        <f>IFERROR(VLOOKUP(A186,'Cadastro Geral Campistas'!$A:$R,2,0),"")</f>
        <v>Larisse da Conceição de avis</v>
      </c>
      <c r="C186" s="6">
        <f>IFERROR(VLOOKUP(A186,'Cadastro Geral Campistas'!$A:$R,5,0),"")</f>
        <v>95</v>
      </c>
      <c r="D186" s="6">
        <f>IFERROR(VLOOKUP(A186,'Cadastro Geral Campistas'!$A:$R,6,0),"")</f>
        <v>1.56</v>
      </c>
      <c r="E186" s="6">
        <f>IFERROR(VLOOKUP(A186,'Cadastro Geral Campistas'!$A:$R,7,0),"")</f>
        <v>28</v>
      </c>
      <c r="F186" s="7" t="str">
        <f>IFERROR(VLOOKUP(A186,'Cadastro Geral Campistas'!$A:$R,9,0),"")</f>
        <v>Goiania</v>
      </c>
      <c r="G186" s="6" t="str">
        <f>IFERROR(VLOOKUP(A186,'Cadastro Geral Campistas'!$A:$R,3,0),"")</f>
        <v>G1</v>
      </c>
      <c r="H186" s="7" t="str">
        <f>IFERROR(VLOOKUP(A186,'Cadastro Geral Campistas'!$A:$R,8,0),"")</f>
        <v>+55 (62) 99384-8361</v>
      </c>
      <c r="I186" s="101" t="str">
        <f>IF(AND(IFERROR(VLOOKUP(A186,'Cadastro Geral Campistas'!$A:$R,18,0),0)&gt;0,COUNTIF($A$184:$A$199,IFERROR(VLOOKUP(A186,'Cadastro Geral Campistas'!$A:$R,18,0),0))&gt;0),"⚠️ CONFLITO! Cônjuge na mesma tribo: "&amp;IFERROR(VLOOKUP(IFERROR(VLOOKUP(A186,'Cadastro Geral Campistas'!$A:$R,18,0),0),'Cadastro Geral Campistas'!$A:$R,2,""),""),TRIM(IF(AND(IFERROR(VLOOKUP(A186,'Cadastro Geral Campistas'!$A:$R,10,0),"")&lt;&gt;"",LOWER(TRIM(IFERROR(VLOOKUP(A186,'Cadastro Geral Campistas'!$A:$R,10,0),"")))&lt;&gt;"não",LOWER(TRIM(IFERROR(VLOOKUP(A186,'Cadastro Geral Campistas'!$A:$R,10,0),"")))&lt;&gt;"nao",LOWER(TRIM(IFERROR(VLOOKUP(A186,'Cadastro Geral Campistas'!$A:$R,10,0),"")))&lt;&gt;"0"),IFERROR(VLOOKUP(A186,'Cadastro Geral Campistas'!$A:$R,10,0),"")&amp;IF(AND(IFERROR(VLOOKUP(A186,'Cadastro Geral Campistas'!$A:$R,15,0),"")&lt;&gt;"",LOWER(TRIM(IFERROR(VLOOKUP(A186,'Cadastro Geral Campistas'!$A:$R,15,0),"")))&lt;&gt;"não",LOWER(TRIM(IFERROR(VLOOKUP(A186,'Cadastro Geral Campistas'!$A:$R,15,0),"")))&lt;&gt;"nao",LOWER(TRIM(IFERROR(VLOOKUP(A186,'Cadastro Geral Campistas'!$A:$R,15,0),"")))&lt;&gt;"0")," | Alergia: "&amp;IFERROR(VLOOKUP(A186,'Cadastro Geral Campistas'!$A:$R,15,0),""),""),IF(AND(IFERROR(VLOOKUP(A186,'Cadastro Geral Campistas'!$A:$R,15,0),"")&lt;&gt;"",LOWER(TRIM(IFERROR(VLOOKUP(A186,'Cadastro Geral Campistas'!$A:$R,15,0),"")))&lt;&gt;"não",LOWER(TRIM(IFERROR(VLOOKUP(A186,'Cadastro Geral Campistas'!$A:$R,15,0),"")))&lt;&gt;"nao",LOWER(TRIM(IFERROR(VLOOKUP(A186,'Cadastro Geral Campistas'!$A:$R,15,0),"")))&lt;&gt;"0"),"Alergia: "&amp;IFERROR(VLOOKUP(A186,'Cadastro Geral Campistas'!$A:$R,15,0),""),""))))</f>
        <v>Lucas Alves Rodrigues | Alergia: Não.</v>
      </c>
      <c r="J186" s="58" t="str">
        <f>IFERROR(VLOOKUP(A186,'Cadastro Geral Campistas'!$A:$R,4,0),"")</f>
        <v>F</v>
      </c>
    </row>
    <row r="187" spans="1:10" ht="18" customHeight="1" x14ac:dyDescent="0.55000000000000004">
      <c r="A187" s="84">
        <v>97</v>
      </c>
      <c r="B187" s="34" t="str">
        <f>IFERROR(VLOOKUP(A187,'Cadastro Geral Campistas'!$A:$R,2,0),"")</f>
        <v>MARIA DE LOURDES PEREIRA SARDINHA RODRIGUES</v>
      </c>
      <c r="C187" s="35">
        <f>IFERROR(VLOOKUP(A187,'Cadastro Geral Campistas'!$A:$R,5,0),"")</f>
        <v>65</v>
      </c>
      <c r="D187" s="35">
        <f>IFERROR(VLOOKUP(A187,'Cadastro Geral Campistas'!$A:$R,6,0),"")</f>
        <v>1.66</v>
      </c>
      <c r="E187" s="35">
        <f>IFERROR(VLOOKUP(A187,'Cadastro Geral Campistas'!$A:$R,7,0),"")</f>
        <v>54</v>
      </c>
      <c r="F187" s="34" t="str">
        <f>IFERROR(VLOOKUP(A187,'Cadastro Geral Campistas'!$A:$R,9,0),"")</f>
        <v>GOIANIA</v>
      </c>
      <c r="G187" s="35" t="str">
        <f>IFERROR(VLOOKUP(A187,'Cadastro Geral Campistas'!$A:$R,3,0),"")</f>
        <v>M</v>
      </c>
      <c r="H187" s="34" t="str">
        <f>IFERROR(VLOOKUP(A187,'Cadastro Geral Campistas'!$A:$R,8,0),"")</f>
        <v>+55 (62) 99635-8839</v>
      </c>
      <c r="I187" s="110" t="str">
        <f>IF(AND(IFERROR(VLOOKUP(A187,'Cadastro Geral Campistas'!$A:$R,18,0),0)&gt;0,COUNTIF($A$184:$A$199,IFERROR(VLOOKUP(A187,'Cadastro Geral Campistas'!$A:$R,18,0),0))&gt;0),"⚠️ CONFLITO! Cônjuge na mesma tribo: "&amp;IFERROR(VLOOKUP(IFERROR(VLOOKUP(A187,'Cadastro Geral Campistas'!$A:$R,18,0),0),'Cadastro Geral Campistas'!$A:$R,2,""),""),TRIM(IF(AND(IFERROR(VLOOKUP(A187,'Cadastro Geral Campistas'!$A:$R,10,0),"")&lt;&gt;"",LOWER(TRIM(IFERROR(VLOOKUP(A187,'Cadastro Geral Campistas'!$A:$R,10,0),"")))&lt;&gt;"não",LOWER(TRIM(IFERROR(VLOOKUP(A187,'Cadastro Geral Campistas'!$A:$R,10,0),"")))&lt;&gt;"nao",LOWER(TRIM(IFERROR(VLOOKUP(A187,'Cadastro Geral Campistas'!$A:$R,10,0),"")))&lt;&gt;"0"),IFERROR(VLOOKUP(A187,'Cadastro Geral Campistas'!$A:$R,10,0),"")&amp;IF(AND(IFERROR(VLOOKUP(A187,'Cadastro Geral Campistas'!$A:$R,15,0),"")&lt;&gt;"",LOWER(TRIM(IFERROR(VLOOKUP(A187,'Cadastro Geral Campistas'!$A:$R,15,0),"")))&lt;&gt;"não",LOWER(TRIM(IFERROR(VLOOKUP(A187,'Cadastro Geral Campistas'!$A:$R,15,0),"")))&lt;&gt;"nao",LOWER(TRIM(IFERROR(VLOOKUP(A187,'Cadastro Geral Campistas'!$A:$R,15,0),"")))&lt;&gt;"0")," | Alergia: "&amp;IFERROR(VLOOKUP(A187,'Cadastro Geral Campistas'!$A:$R,15,0),""),""),IF(AND(IFERROR(VLOOKUP(A187,'Cadastro Geral Campistas'!$A:$R,15,0),"")&lt;&gt;"",LOWER(TRIM(IFERROR(VLOOKUP(A187,'Cadastro Geral Campistas'!$A:$R,15,0),"")))&lt;&gt;"não",LOWER(TRIM(IFERROR(VLOOKUP(A187,'Cadastro Geral Campistas'!$A:$R,15,0),"")))&lt;&gt;"nao",LOWER(TRIM(IFERROR(VLOOKUP(A187,'Cadastro Geral Campistas'!$A:$R,15,0),"")))&lt;&gt;"0"),"Alergia: "&amp;IFERROR(VLOOKUP(A187,'Cadastro Geral Campistas'!$A:$R,15,0),""),""))))</f>
        <v>Alergia: insetos</v>
      </c>
      <c r="J187" s="85" t="str">
        <f>IFERROR(VLOOKUP(A187,'Cadastro Geral Campistas'!$A:$R,4,0),"")</f>
        <v>F</v>
      </c>
    </row>
    <row r="188" spans="1:10" ht="18" customHeight="1" x14ac:dyDescent="0.55000000000000004">
      <c r="A188" s="57">
        <v>98</v>
      </c>
      <c r="B188" s="7" t="str">
        <f>IFERROR(VLOOKUP(A188,'Cadastro Geral Campistas'!$A:$R,2,0),"")</f>
        <v>Maria Eduarda Barroso dos Santos</v>
      </c>
      <c r="C188" s="6">
        <f>IFERROR(VLOOKUP(A188,'Cadastro Geral Campistas'!$A:$R,5,0),"")</f>
        <v>62</v>
      </c>
      <c r="D188" s="6">
        <f>IFERROR(VLOOKUP(A188,'Cadastro Geral Campistas'!$A:$R,6,0),"")</f>
        <v>1.67</v>
      </c>
      <c r="E188" s="6">
        <f>IFERROR(VLOOKUP(A188,'Cadastro Geral Campistas'!$A:$R,7,0),"")</f>
        <v>21</v>
      </c>
      <c r="F188" s="7" t="str">
        <f>IFERROR(VLOOKUP(A188,'Cadastro Geral Campistas'!$A:$R,9,0),"")</f>
        <v>Aparecida de Goiânia</v>
      </c>
      <c r="G188" s="6" t="str">
        <f>IFERROR(VLOOKUP(A188,'Cadastro Geral Campistas'!$A:$R,3,0),"")</f>
        <v>P</v>
      </c>
      <c r="H188" s="7" t="str">
        <f>IFERROR(VLOOKUP(A188,'Cadastro Geral Campistas'!$A:$R,8,0),"")</f>
        <v>+55 (62) 99666-0772</v>
      </c>
      <c r="I188" s="101" t="str">
        <f>IF(AND(IFERROR(VLOOKUP(A188,'Cadastro Geral Campistas'!$A:$R,18,0),0)&gt;0,COUNTIF($A$184:$A$199,IFERROR(VLOOKUP(A188,'Cadastro Geral Campistas'!$A:$R,18,0),0))&gt;0),"⚠️ CONFLITO! Cônjuge na mesma tribo: "&amp;IFERROR(VLOOKUP(IFERROR(VLOOKUP(A188,'Cadastro Geral Campistas'!$A:$R,18,0),0),'Cadastro Geral Campistas'!$A:$R,2,""),""),TRIM(IF(AND(IFERROR(VLOOKUP(A188,'Cadastro Geral Campistas'!$A:$R,10,0),"")&lt;&gt;"",LOWER(TRIM(IFERROR(VLOOKUP(A188,'Cadastro Geral Campistas'!$A:$R,10,0),"")))&lt;&gt;"não",LOWER(TRIM(IFERROR(VLOOKUP(A188,'Cadastro Geral Campistas'!$A:$R,10,0),"")))&lt;&gt;"nao",LOWER(TRIM(IFERROR(VLOOKUP(A188,'Cadastro Geral Campistas'!$A:$R,10,0),"")))&lt;&gt;"0"),IFERROR(VLOOKUP(A188,'Cadastro Geral Campistas'!$A:$R,10,0),"")&amp;IF(AND(IFERROR(VLOOKUP(A188,'Cadastro Geral Campistas'!$A:$R,15,0),"")&lt;&gt;"",LOWER(TRIM(IFERROR(VLOOKUP(A188,'Cadastro Geral Campistas'!$A:$R,15,0),"")))&lt;&gt;"não",LOWER(TRIM(IFERROR(VLOOKUP(A188,'Cadastro Geral Campistas'!$A:$R,15,0),"")))&lt;&gt;"nao",LOWER(TRIM(IFERROR(VLOOKUP(A188,'Cadastro Geral Campistas'!$A:$R,15,0),"")))&lt;&gt;"0")," | Alergia: "&amp;IFERROR(VLOOKUP(A188,'Cadastro Geral Campistas'!$A:$R,15,0),""),""),IF(AND(IFERROR(VLOOKUP(A188,'Cadastro Geral Campistas'!$A:$R,15,0),"")&lt;&gt;"",LOWER(TRIM(IFERROR(VLOOKUP(A188,'Cadastro Geral Campistas'!$A:$R,15,0),"")))&lt;&gt;"não",LOWER(TRIM(IFERROR(VLOOKUP(A188,'Cadastro Geral Campistas'!$A:$R,15,0),"")))&lt;&gt;"nao",LOWER(TRIM(IFERROR(VLOOKUP(A188,'Cadastro Geral Campistas'!$A:$R,15,0),"")))&lt;&gt;"0"),"Alergia: "&amp;IFERROR(VLOOKUP(A188,'Cadastro Geral Campistas'!$A:$R,15,0),""),""))))</f>
        <v/>
      </c>
      <c r="J188" s="58" t="str">
        <f>IFERROR(VLOOKUP(A188,'Cadastro Geral Campistas'!$A:$R,4,0),"")</f>
        <v>F</v>
      </c>
    </row>
    <row r="189" spans="1:10" ht="18" customHeight="1" x14ac:dyDescent="0.55000000000000004">
      <c r="A189" s="84">
        <v>127</v>
      </c>
      <c r="B189" s="34" t="str">
        <f>IFERROR(VLOOKUP(A189,'Cadastro Geral Campistas'!$A:$R,2,0),"")</f>
        <v>Taynara Batista D'Ávila</v>
      </c>
      <c r="C189" s="35">
        <f>IFERROR(VLOOKUP(A189,'Cadastro Geral Campistas'!$A:$R,5,0),"")</f>
        <v>62</v>
      </c>
      <c r="D189" s="35">
        <f>IFERROR(VLOOKUP(A189,'Cadastro Geral Campistas'!$A:$R,6,0),"")</f>
        <v>1.6</v>
      </c>
      <c r="E189" s="35">
        <f>IFERROR(VLOOKUP(A189,'Cadastro Geral Campistas'!$A:$R,7,0),"")</f>
        <v>36</v>
      </c>
      <c r="F189" s="34" t="str">
        <f>IFERROR(VLOOKUP(A189,'Cadastro Geral Campistas'!$A:$R,9,0),"")</f>
        <v>Goiânia</v>
      </c>
      <c r="G189" s="35" t="str">
        <f>IFERROR(VLOOKUP(A189,'Cadastro Geral Campistas'!$A:$R,3,0),"")</f>
        <v>G</v>
      </c>
      <c r="H189" s="34" t="str">
        <f>IFERROR(VLOOKUP(A189,'Cadastro Geral Campistas'!$A:$R,8,0),"")</f>
        <v>+55 (62) 98215-1915</v>
      </c>
      <c r="I189" s="110" t="str">
        <f>IF(AND(IFERROR(VLOOKUP(A189,'Cadastro Geral Campistas'!$A:$R,18,0),0)&gt;0,COUNTIF($A$184:$A$199,IFERROR(VLOOKUP(A189,'Cadastro Geral Campistas'!$A:$R,18,0),0))&gt;0),"⚠️ CONFLITO! Cônjuge na mesma tribo: "&amp;IFERROR(VLOOKUP(IFERROR(VLOOKUP(A189,'Cadastro Geral Campistas'!$A:$R,18,0),0),'Cadastro Geral Campistas'!$A:$R,2,""),""),TRIM(IF(AND(IFERROR(VLOOKUP(A189,'Cadastro Geral Campistas'!$A:$R,10,0),"")&lt;&gt;"",LOWER(TRIM(IFERROR(VLOOKUP(A189,'Cadastro Geral Campistas'!$A:$R,10,0),"")))&lt;&gt;"não",LOWER(TRIM(IFERROR(VLOOKUP(A189,'Cadastro Geral Campistas'!$A:$R,10,0),"")))&lt;&gt;"nao",LOWER(TRIM(IFERROR(VLOOKUP(A189,'Cadastro Geral Campistas'!$A:$R,10,0),"")))&lt;&gt;"0"),IFERROR(VLOOKUP(A189,'Cadastro Geral Campistas'!$A:$R,10,0),"")&amp;IF(AND(IFERROR(VLOOKUP(A189,'Cadastro Geral Campistas'!$A:$R,15,0),"")&lt;&gt;"",LOWER(TRIM(IFERROR(VLOOKUP(A189,'Cadastro Geral Campistas'!$A:$R,15,0),"")))&lt;&gt;"não",LOWER(TRIM(IFERROR(VLOOKUP(A189,'Cadastro Geral Campistas'!$A:$R,15,0),"")))&lt;&gt;"nao",LOWER(TRIM(IFERROR(VLOOKUP(A189,'Cadastro Geral Campistas'!$A:$R,15,0),"")))&lt;&gt;"0")," | Alergia: "&amp;IFERROR(VLOOKUP(A189,'Cadastro Geral Campistas'!$A:$R,15,0),""),""),IF(AND(IFERROR(VLOOKUP(A189,'Cadastro Geral Campistas'!$A:$R,15,0),"")&lt;&gt;"",LOWER(TRIM(IFERROR(VLOOKUP(A189,'Cadastro Geral Campistas'!$A:$R,15,0),"")))&lt;&gt;"não",LOWER(TRIM(IFERROR(VLOOKUP(A189,'Cadastro Geral Campistas'!$A:$R,15,0),"")))&lt;&gt;"nao",LOWER(TRIM(IFERROR(VLOOKUP(A189,'Cadastro Geral Campistas'!$A:$R,15,0),"")))&lt;&gt;"0"),"Alergia: "&amp;IFERROR(VLOOKUP(A189,'Cadastro Geral Campistas'!$A:$R,15,0),""),""))))</f>
        <v>Não. | Alergia: Não.</v>
      </c>
      <c r="J189" s="85" t="str">
        <f>IFERROR(VLOOKUP(A189,'Cadastro Geral Campistas'!$A:$R,4,0),"")</f>
        <v>F</v>
      </c>
    </row>
    <row r="190" spans="1:10" ht="18" customHeight="1" x14ac:dyDescent="0.55000000000000004">
      <c r="A190" s="57">
        <v>128</v>
      </c>
      <c r="B190" s="7" t="str">
        <f>IFERROR(VLOOKUP(A190,'Cadastro Geral Campistas'!$A:$R,2,0),"")</f>
        <v>Thairine Rodrigues da silva</v>
      </c>
      <c r="C190" s="6">
        <f>IFERROR(VLOOKUP(A190,'Cadastro Geral Campistas'!$A:$R,5,0),"")</f>
        <v>62</v>
      </c>
      <c r="D190" s="6">
        <f>IFERROR(VLOOKUP(A190,'Cadastro Geral Campistas'!$A:$R,6,0),"")</f>
        <v>1.56</v>
      </c>
      <c r="E190" s="6">
        <f>IFERROR(VLOOKUP(A190,'Cadastro Geral Campistas'!$A:$R,7,0),"")</f>
        <v>28</v>
      </c>
      <c r="F190" s="7" t="str">
        <f>IFERROR(VLOOKUP(A190,'Cadastro Geral Campistas'!$A:$R,9,0),"")</f>
        <v>Goiania</v>
      </c>
      <c r="G190" s="6" t="str">
        <f>IFERROR(VLOOKUP(A190,'Cadastro Geral Campistas'!$A:$R,3,0),"")</f>
        <v>M</v>
      </c>
      <c r="H190" s="7" t="str">
        <f>IFERROR(VLOOKUP(A190,'Cadastro Geral Campistas'!$A:$R,8,0),"")</f>
        <v>+55 (62) 98429-1300</v>
      </c>
      <c r="I190" s="101" t="str">
        <f>IF(AND(IFERROR(VLOOKUP(A190,'Cadastro Geral Campistas'!$A:$R,18,0),0)&gt;0,COUNTIF($A$184:$A$199,IFERROR(VLOOKUP(A190,'Cadastro Geral Campistas'!$A:$R,18,0),0))&gt;0),"⚠️ CONFLITO! Cônjuge na mesma tribo: "&amp;IFERROR(VLOOKUP(IFERROR(VLOOKUP(A190,'Cadastro Geral Campistas'!$A:$R,18,0),0),'Cadastro Geral Campistas'!$A:$R,2,""),""),TRIM(IF(AND(IFERROR(VLOOKUP(A190,'Cadastro Geral Campistas'!$A:$R,10,0),"")&lt;&gt;"",LOWER(TRIM(IFERROR(VLOOKUP(A190,'Cadastro Geral Campistas'!$A:$R,10,0),"")))&lt;&gt;"não",LOWER(TRIM(IFERROR(VLOOKUP(A190,'Cadastro Geral Campistas'!$A:$R,10,0),"")))&lt;&gt;"nao",LOWER(TRIM(IFERROR(VLOOKUP(A190,'Cadastro Geral Campistas'!$A:$R,10,0),"")))&lt;&gt;"0"),IFERROR(VLOOKUP(A190,'Cadastro Geral Campistas'!$A:$R,10,0),"")&amp;IF(AND(IFERROR(VLOOKUP(A190,'Cadastro Geral Campistas'!$A:$R,15,0),"")&lt;&gt;"",LOWER(TRIM(IFERROR(VLOOKUP(A190,'Cadastro Geral Campistas'!$A:$R,15,0),"")))&lt;&gt;"não",LOWER(TRIM(IFERROR(VLOOKUP(A190,'Cadastro Geral Campistas'!$A:$R,15,0),"")))&lt;&gt;"nao",LOWER(TRIM(IFERROR(VLOOKUP(A190,'Cadastro Geral Campistas'!$A:$R,15,0),"")))&lt;&gt;"0")," | Alergia: "&amp;IFERROR(VLOOKUP(A190,'Cadastro Geral Campistas'!$A:$R,15,0),""),""),IF(AND(IFERROR(VLOOKUP(A190,'Cadastro Geral Campistas'!$A:$R,15,0),"")&lt;&gt;"",LOWER(TRIM(IFERROR(VLOOKUP(A190,'Cadastro Geral Campistas'!$A:$R,15,0),"")))&lt;&gt;"não",LOWER(TRIM(IFERROR(VLOOKUP(A190,'Cadastro Geral Campistas'!$A:$R,15,0),"")))&lt;&gt;"nao",LOWER(TRIM(IFERROR(VLOOKUP(A190,'Cadastro Geral Campistas'!$A:$R,15,0),"")))&lt;&gt;"0"),"Alergia: "&amp;IFERROR(VLOOKUP(A190,'Cadastro Geral Campistas'!$A:$R,15,0),""),""))))</f>
        <v/>
      </c>
      <c r="J190" s="58" t="str">
        <f>IFERROR(VLOOKUP(A190,'Cadastro Geral Campistas'!$A:$R,4,0),"")</f>
        <v>F</v>
      </c>
    </row>
    <row r="191" spans="1:10" ht="18" customHeight="1" x14ac:dyDescent="0.55000000000000004">
      <c r="A191" s="84">
        <v>139</v>
      </c>
      <c r="B191" s="34" t="str">
        <f>IFERROR(VLOOKUP(A191,'Cadastro Geral Campistas'!$A:$R,2,0),"")</f>
        <v>Weronica  Fernandes Carneiro da Cruz</v>
      </c>
      <c r="C191" s="35">
        <f>IFERROR(VLOOKUP(A191,'Cadastro Geral Campistas'!$A:$R,5,0),"")</f>
        <v>69</v>
      </c>
      <c r="D191" s="35">
        <f>IFERROR(VLOOKUP(A191,'Cadastro Geral Campistas'!$A:$R,6,0),"")</f>
        <v>1.65</v>
      </c>
      <c r="E191" s="35">
        <f>IFERROR(VLOOKUP(A191,'Cadastro Geral Campistas'!$A:$R,7,0),"")</f>
        <v>35</v>
      </c>
      <c r="F191" s="34" t="str">
        <f>IFERROR(VLOOKUP(A191,'Cadastro Geral Campistas'!$A:$R,9,0),"")</f>
        <v>Rio Verde</v>
      </c>
      <c r="G191" s="35" t="str">
        <f>IFERROR(VLOOKUP(A191,'Cadastro Geral Campistas'!$A:$R,3,0),"")</f>
        <v>P</v>
      </c>
      <c r="H191" s="34" t="str">
        <f>IFERROR(VLOOKUP(A191,'Cadastro Geral Campistas'!$A:$R,8,0),"")</f>
        <v>+55 (64) 98405-8328</v>
      </c>
      <c r="I191" s="110" t="str">
        <f>IF(AND(IFERROR(VLOOKUP(A191,'Cadastro Geral Campistas'!$A:$R,18,0),0)&gt;0,COUNTIF($A$184:$A$199,IFERROR(VLOOKUP(A191,'Cadastro Geral Campistas'!$A:$R,18,0),0))&gt;0),"⚠️ CONFLITO! Cônjuge na mesma tribo: "&amp;IFERROR(VLOOKUP(IFERROR(VLOOKUP(A191,'Cadastro Geral Campistas'!$A:$R,18,0),0),'Cadastro Geral Campistas'!$A:$R,2,""),""),TRIM(IF(AND(IFERROR(VLOOKUP(A191,'Cadastro Geral Campistas'!$A:$R,10,0),"")&lt;&gt;"",LOWER(TRIM(IFERROR(VLOOKUP(A191,'Cadastro Geral Campistas'!$A:$R,10,0),"")))&lt;&gt;"não",LOWER(TRIM(IFERROR(VLOOKUP(A191,'Cadastro Geral Campistas'!$A:$R,10,0),"")))&lt;&gt;"nao",LOWER(TRIM(IFERROR(VLOOKUP(A191,'Cadastro Geral Campistas'!$A:$R,10,0),"")))&lt;&gt;"0"),IFERROR(VLOOKUP(A191,'Cadastro Geral Campistas'!$A:$R,10,0),"")&amp;IF(AND(IFERROR(VLOOKUP(A191,'Cadastro Geral Campistas'!$A:$R,15,0),"")&lt;&gt;"",LOWER(TRIM(IFERROR(VLOOKUP(A191,'Cadastro Geral Campistas'!$A:$R,15,0),"")))&lt;&gt;"não",LOWER(TRIM(IFERROR(VLOOKUP(A191,'Cadastro Geral Campistas'!$A:$R,15,0),"")))&lt;&gt;"nao",LOWER(TRIM(IFERROR(VLOOKUP(A191,'Cadastro Geral Campistas'!$A:$R,15,0),"")))&lt;&gt;"0")," | Alergia: "&amp;IFERROR(VLOOKUP(A191,'Cadastro Geral Campistas'!$A:$R,15,0),""),""),IF(AND(IFERROR(VLOOKUP(A191,'Cadastro Geral Campistas'!$A:$R,15,0),"")&lt;&gt;"",LOWER(TRIM(IFERROR(VLOOKUP(A191,'Cadastro Geral Campistas'!$A:$R,15,0),"")))&lt;&gt;"não",LOWER(TRIM(IFERROR(VLOOKUP(A191,'Cadastro Geral Campistas'!$A:$R,15,0),"")))&lt;&gt;"nao",LOWER(TRIM(IFERROR(VLOOKUP(A191,'Cadastro Geral Campistas'!$A:$R,15,0),"")))&lt;&gt;"0"),"Alergia: "&amp;IFERROR(VLOOKUP(A191,'Cadastro Geral Campistas'!$A:$R,15,0),""),""))))</f>
        <v>sim</v>
      </c>
      <c r="J191" s="85" t="str">
        <f>IFERROR(VLOOKUP(A191,'Cadastro Geral Campistas'!$A:$R,4,0),"")</f>
        <v>F</v>
      </c>
    </row>
    <row r="192" spans="1:10" ht="18" customHeight="1" x14ac:dyDescent="0.55000000000000004">
      <c r="A192" s="57">
        <v>31</v>
      </c>
      <c r="B192" s="7" t="str">
        <f>IFERROR(VLOOKUP(A192,'Cadastro Geral Campistas'!$A:$R,2,0),"")</f>
        <v>Diego Grando</v>
      </c>
      <c r="C192" s="6">
        <f>IFERROR(VLOOKUP(A192,'Cadastro Geral Campistas'!$A:$R,5,0),"")</f>
        <v>78</v>
      </c>
      <c r="D192" s="6">
        <f>IFERROR(VLOOKUP(A192,'Cadastro Geral Campistas'!$A:$R,6,0),"")</f>
        <v>1.79</v>
      </c>
      <c r="E192" s="6">
        <f>IFERROR(VLOOKUP(A192,'Cadastro Geral Campistas'!$A:$R,7,0),"")</f>
        <v>43</v>
      </c>
      <c r="F192" s="7" t="str">
        <f>IFERROR(VLOOKUP(A192,'Cadastro Geral Campistas'!$A:$R,9,0),"")</f>
        <v>Pinhalzinho SC</v>
      </c>
      <c r="G192" s="6" t="str">
        <f>IFERROR(VLOOKUP(A192,'Cadastro Geral Campistas'!$A:$R,3,0),"")</f>
        <v>M</v>
      </c>
      <c r="H192" s="7" t="str">
        <f>IFERROR(VLOOKUP(A192,'Cadastro Geral Campistas'!$A:$R,8,0),"")</f>
        <v>+55 (49) 99912-1598</v>
      </c>
      <c r="I192" s="101" t="str">
        <f>IF(AND(IFERROR(VLOOKUP(A192,'Cadastro Geral Campistas'!$A:$R,18,0),0)&gt;0,COUNTIF($A$184:$A$199,IFERROR(VLOOKUP(A192,'Cadastro Geral Campistas'!$A:$R,18,0),0))&gt;0),"⚠️ CONFLITO! Cônjuge na mesma tribo: "&amp;IFERROR(VLOOKUP(IFERROR(VLOOKUP(A192,'Cadastro Geral Campistas'!$A:$R,18,0),0),'Cadastro Geral Campistas'!$A:$R,2,""),""),TRIM(IF(AND(IFERROR(VLOOKUP(A192,'Cadastro Geral Campistas'!$A:$R,10,0),"")&lt;&gt;"",LOWER(TRIM(IFERROR(VLOOKUP(A192,'Cadastro Geral Campistas'!$A:$R,10,0),"")))&lt;&gt;"não",LOWER(TRIM(IFERROR(VLOOKUP(A192,'Cadastro Geral Campistas'!$A:$R,10,0),"")))&lt;&gt;"nao",LOWER(TRIM(IFERROR(VLOOKUP(A192,'Cadastro Geral Campistas'!$A:$R,10,0),"")))&lt;&gt;"0"),IFERROR(VLOOKUP(A192,'Cadastro Geral Campistas'!$A:$R,10,0),"")&amp;IF(AND(IFERROR(VLOOKUP(A192,'Cadastro Geral Campistas'!$A:$R,15,0),"")&lt;&gt;"",LOWER(TRIM(IFERROR(VLOOKUP(A192,'Cadastro Geral Campistas'!$A:$R,15,0),"")))&lt;&gt;"não",LOWER(TRIM(IFERROR(VLOOKUP(A192,'Cadastro Geral Campistas'!$A:$R,15,0),"")))&lt;&gt;"nao",LOWER(TRIM(IFERROR(VLOOKUP(A192,'Cadastro Geral Campistas'!$A:$R,15,0),"")))&lt;&gt;"0")," | Alergia: "&amp;IFERROR(VLOOKUP(A192,'Cadastro Geral Campistas'!$A:$R,15,0),""),""),IF(AND(IFERROR(VLOOKUP(A192,'Cadastro Geral Campistas'!$A:$R,15,0),"")&lt;&gt;"",LOWER(TRIM(IFERROR(VLOOKUP(A192,'Cadastro Geral Campistas'!$A:$R,15,0),"")))&lt;&gt;"não",LOWER(TRIM(IFERROR(VLOOKUP(A192,'Cadastro Geral Campistas'!$A:$R,15,0),"")))&lt;&gt;"nao",LOWER(TRIM(IFERROR(VLOOKUP(A192,'Cadastro Geral Campistas'!$A:$R,15,0),"")))&lt;&gt;"0"),"Alergia: "&amp;IFERROR(VLOOKUP(A192,'Cadastro Geral Campistas'!$A:$R,15,0),""),""))))</f>
        <v>Josiane fiorini</v>
      </c>
      <c r="J192" s="58" t="str">
        <f>IFERROR(VLOOKUP(A192,'Cadastro Geral Campistas'!$A:$R,4,0),"")</f>
        <v>M</v>
      </c>
    </row>
    <row r="193" spans="1:10" ht="18" customHeight="1" x14ac:dyDescent="0.55000000000000004">
      <c r="A193" s="84">
        <v>44</v>
      </c>
      <c r="B193" s="34" t="str">
        <f>IFERROR(VLOOKUP(A193,'Cadastro Geral Campistas'!$A:$R,2,0),"")</f>
        <v>Fernando Bongiovanni Seraphim</v>
      </c>
      <c r="C193" s="35">
        <f>IFERROR(VLOOKUP(A193,'Cadastro Geral Campistas'!$A:$R,5,0),"")</f>
        <v>100</v>
      </c>
      <c r="D193" s="35">
        <f>IFERROR(VLOOKUP(A193,'Cadastro Geral Campistas'!$A:$R,6,0),"")</f>
        <v>1.85</v>
      </c>
      <c r="E193" s="35">
        <f>IFERROR(VLOOKUP(A193,'Cadastro Geral Campistas'!$A:$R,7,0),"")</f>
        <v>52</v>
      </c>
      <c r="F193" s="34" t="str">
        <f>IFERROR(VLOOKUP(A193,'Cadastro Geral Campistas'!$A:$R,9,0),"")</f>
        <v>Rio Verde</v>
      </c>
      <c r="G193" s="35" t="str">
        <f>IFERROR(VLOOKUP(A193,'Cadastro Geral Campistas'!$A:$R,3,0),"")</f>
        <v>GG</v>
      </c>
      <c r="H193" s="34" t="str">
        <f>IFERROR(VLOOKUP(A193,'Cadastro Geral Campistas'!$A:$R,8,0),"")</f>
        <v>+55 (14) 99704-1530</v>
      </c>
      <c r="I193" s="110" t="str">
        <f>IF(AND(IFERROR(VLOOKUP(A193,'Cadastro Geral Campistas'!$A:$R,18,0),0)&gt;0,COUNTIF($A$184:$A$199,IFERROR(VLOOKUP(A193,'Cadastro Geral Campistas'!$A:$R,18,0),0))&gt;0),"⚠️ CONFLITO! Cônjuge na mesma tribo: "&amp;IFERROR(VLOOKUP(IFERROR(VLOOKUP(A193,'Cadastro Geral Campistas'!$A:$R,18,0),0),'Cadastro Geral Campistas'!$A:$R,2,""),""),TRIM(IF(AND(IFERROR(VLOOKUP(A193,'Cadastro Geral Campistas'!$A:$R,10,0),"")&lt;&gt;"",LOWER(TRIM(IFERROR(VLOOKUP(A193,'Cadastro Geral Campistas'!$A:$R,10,0),"")))&lt;&gt;"não",LOWER(TRIM(IFERROR(VLOOKUP(A193,'Cadastro Geral Campistas'!$A:$R,10,0),"")))&lt;&gt;"nao",LOWER(TRIM(IFERROR(VLOOKUP(A193,'Cadastro Geral Campistas'!$A:$R,10,0),"")))&lt;&gt;"0"),IFERROR(VLOOKUP(A193,'Cadastro Geral Campistas'!$A:$R,10,0),"")&amp;IF(AND(IFERROR(VLOOKUP(A193,'Cadastro Geral Campistas'!$A:$R,15,0),"")&lt;&gt;"",LOWER(TRIM(IFERROR(VLOOKUP(A193,'Cadastro Geral Campistas'!$A:$R,15,0),"")))&lt;&gt;"não",LOWER(TRIM(IFERROR(VLOOKUP(A193,'Cadastro Geral Campistas'!$A:$R,15,0),"")))&lt;&gt;"nao",LOWER(TRIM(IFERROR(VLOOKUP(A193,'Cadastro Geral Campistas'!$A:$R,15,0),"")))&lt;&gt;"0")," | Alergia: "&amp;IFERROR(VLOOKUP(A193,'Cadastro Geral Campistas'!$A:$R,15,0),""),""),IF(AND(IFERROR(VLOOKUP(A193,'Cadastro Geral Campistas'!$A:$R,15,0),"")&lt;&gt;"",LOWER(TRIM(IFERROR(VLOOKUP(A193,'Cadastro Geral Campistas'!$A:$R,15,0),"")))&lt;&gt;"não",LOWER(TRIM(IFERROR(VLOOKUP(A193,'Cadastro Geral Campistas'!$A:$R,15,0),"")))&lt;&gt;"nao",LOWER(TRIM(IFERROR(VLOOKUP(A193,'Cadastro Geral Campistas'!$A:$R,15,0),"")))&lt;&gt;"0"),"Alergia: "&amp;IFERROR(VLOOKUP(A193,'Cadastro Geral Campistas'!$A:$R,15,0),""),""))))</f>
        <v>Patrícia cunha</v>
      </c>
      <c r="J193" s="85" t="str">
        <f>IFERROR(VLOOKUP(A193,'Cadastro Geral Campistas'!$A:$R,4,0),"")</f>
        <v>M</v>
      </c>
    </row>
    <row r="194" spans="1:10" ht="18" customHeight="1" x14ac:dyDescent="0.55000000000000004">
      <c r="A194" s="57">
        <v>45</v>
      </c>
      <c r="B194" s="7" t="str">
        <f>IFERROR(VLOOKUP(A194,'Cadastro Geral Campistas'!$A:$R,2,0),"")</f>
        <v>Fernando Costa de Souza</v>
      </c>
      <c r="C194" s="6">
        <f>IFERROR(VLOOKUP(A194,'Cadastro Geral Campistas'!$A:$R,5,0),"")</f>
        <v>74</v>
      </c>
      <c r="D194" s="6">
        <f>IFERROR(VLOOKUP(A194,'Cadastro Geral Campistas'!$A:$R,6,0),"")</f>
        <v>1.75</v>
      </c>
      <c r="E194" s="6">
        <f>IFERROR(VLOOKUP(A194,'Cadastro Geral Campistas'!$A:$R,7,0),"")</f>
        <v>36</v>
      </c>
      <c r="F194" s="7" t="str">
        <f>IFERROR(VLOOKUP(A194,'Cadastro Geral Campistas'!$A:$R,9,0),"")</f>
        <v>Senador Canedo</v>
      </c>
      <c r="G194" s="6" t="str">
        <f>IFERROR(VLOOKUP(A194,'Cadastro Geral Campistas'!$A:$R,3,0),"")</f>
        <v>M</v>
      </c>
      <c r="H194" s="7" t="str">
        <f>IFERROR(VLOOKUP(A194,'Cadastro Geral Campistas'!$A:$R,8,0),"")</f>
        <v>+55 (62) 99306-9620</v>
      </c>
      <c r="I194" s="101" t="str">
        <f>IF(AND(IFERROR(VLOOKUP(A194,'Cadastro Geral Campistas'!$A:$R,18,0),0)&gt;0,COUNTIF($A$184:$A$199,IFERROR(VLOOKUP(A194,'Cadastro Geral Campistas'!$A:$R,18,0),0))&gt;0),"⚠️ CONFLITO! Cônjuge na mesma tribo: "&amp;IFERROR(VLOOKUP(IFERROR(VLOOKUP(A194,'Cadastro Geral Campistas'!$A:$R,18,0),0),'Cadastro Geral Campistas'!$A:$R,2,""),""),TRIM(IF(AND(IFERROR(VLOOKUP(A194,'Cadastro Geral Campistas'!$A:$R,10,0),"")&lt;&gt;"",LOWER(TRIM(IFERROR(VLOOKUP(A194,'Cadastro Geral Campistas'!$A:$R,10,0),"")))&lt;&gt;"não",LOWER(TRIM(IFERROR(VLOOKUP(A194,'Cadastro Geral Campistas'!$A:$R,10,0),"")))&lt;&gt;"nao",LOWER(TRIM(IFERROR(VLOOKUP(A194,'Cadastro Geral Campistas'!$A:$R,10,0),"")))&lt;&gt;"0"),IFERROR(VLOOKUP(A194,'Cadastro Geral Campistas'!$A:$R,10,0),"")&amp;IF(AND(IFERROR(VLOOKUP(A194,'Cadastro Geral Campistas'!$A:$R,15,0),"")&lt;&gt;"",LOWER(TRIM(IFERROR(VLOOKUP(A194,'Cadastro Geral Campistas'!$A:$R,15,0),"")))&lt;&gt;"não",LOWER(TRIM(IFERROR(VLOOKUP(A194,'Cadastro Geral Campistas'!$A:$R,15,0),"")))&lt;&gt;"nao",LOWER(TRIM(IFERROR(VLOOKUP(A194,'Cadastro Geral Campistas'!$A:$R,15,0),"")))&lt;&gt;"0")," | Alergia: "&amp;IFERROR(VLOOKUP(A194,'Cadastro Geral Campistas'!$A:$R,15,0),""),""),IF(AND(IFERROR(VLOOKUP(A194,'Cadastro Geral Campistas'!$A:$R,15,0),"")&lt;&gt;"",LOWER(TRIM(IFERROR(VLOOKUP(A194,'Cadastro Geral Campistas'!$A:$R,15,0),"")))&lt;&gt;"não",LOWER(TRIM(IFERROR(VLOOKUP(A194,'Cadastro Geral Campistas'!$A:$R,15,0),"")))&lt;&gt;"nao",LOWER(TRIM(IFERROR(VLOOKUP(A194,'Cadastro Geral Campistas'!$A:$R,15,0),"")))&lt;&gt;"0"),"Alergia: "&amp;IFERROR(VLOOKUP(A194,'Cadastro Geral Campistas'!$A:$R,15,0),""),""))))</f>
        <v/>
      </c>
      <c r="J194" s="58" t="str">
        <f>IFERROR(VLOOKUP(A194,'Cadastro Geral Campistas'!$A:$R,4,0),"")</f>
        <v>M</v>
      </c>
    </row>
    <row r="195" spans="1:10" ht="18" customHeight="1" x14ac:dyDescent="0.55000000000000004">
      <c r="A195" s="84">
        <v>54</v>
      </c>
      <c r="B195" s="34" t="str">
        <f>IFERROR(VLOOKUP(A195,'Cadastro Geral Campistas'!$A:$R,2,0),"")</f>
        <v>Hudson Rodrigues de Sena</v>
      </c>
      <c r="C195" s="35">
        <f>IFERROR(VLOOKUP(A195,'Cadastro Geral Campistas'!$A:$R,5,0),"")</f>
        <v>98</v>
      </c>
      <c r="D195" s="35">
        <f>IFERROR(VLOOKUP(A195,'Cadastro Geral Campistas'!$A:$R,6,0),"")</f>
        <v>1.74</v>
      </c>
      <c r="E195" s="35">
        <f>IFERROR(VLOOKUP(A195,'Cadastro Geral Campistas'!$A:$R,7,0),"")</f>
        <v>41</v>
      </c>
      <c r="F195" s="34" t="str">
        <f>IFERROR(VLOOKUP(A195,'Cadastro Geral Campistas'!$A:$R,9,0),"")</f>
        <v>Goiânia</v>
      </c>
      <c r="G195" s="35" t="str">
        <f>IFERROR(VLOOKUP(A195,'Cadastro Geral Campistas'!$A:$R,3,0),"")</f>
        <v>GG</v>
      </c>
      <c r="H195" s="34" t="str">
        <f>IFERROR(VLOOKUP(A195,'Cadastro Geral Campistas'!$A:$R,8,0),"")</f>
        <v>(62) 99495-8095</v>
      </c>
      <c r="I195" s="110" t="str">
        <f>IF(AND(IFERROR(VLOOKUP(A195,'Cadastro Geral Campistas'!$A:$R,18,0),0)&gt;0,COUNTIF($A$184:$A$199,IFERROR(VLOOKUP(A195,'Cadastro Geral Campistas'!$A:$R,18,0),0))&gt;0),"⚠️ CONFLITO! Cônjuge na mesma tribo: "&amp;IFERROR(VLOOKUP(IFERROR(VLOOKUP(A195,'Cadastro Geral Campistas'!$A:$R,18,0),0),'Cadastro Geral Campistas'!$A:$R,2,""),""),TRIM(IF(AND(IFERROR(VLOOKUP(A195,'Cadastro Geral Campistas'!$A:$R,10,0),"")&lt;&gt;"",LOWER(TRIM(IFERROR(VLOOKUP(A195,'Cadastro Geral Campistas'!$A:$R,10,0),"")))&lt;&gt;"não",LOWER(TRIM(IFERROR(VLOOKUP(A195,'Cadastro Geral Campistas'!$A:$R,10,0),"")))&lt;&gt;"nao",LOWER(TRIM(IFERROR(VLOOKUP(A195,'Cadastro Geral Campistas'!$A:$R,10,0),"")))&lt;&gt;"0"),IFERROR(VLOOKUP(A195,'Cadastro Geral Campistas'!$A:$R,10,0),"")&amp;IF(AND(IFERROR(VLOOKUP(A195,'Cadastro Geral Campistas'!$A:$R,15,0),"")&lt;&gt;"",LOWER(TRIM(IFERROR(VLOOKUP(A195,'Cadastro Geral Campistas'!$A:$R,15,0),"")))&lt;&gt;"não",LOWER(TRIM(IFERROR(VLOOKUP(A195,'Cadastro Geral Campistas'!$A:$R,15,0),"")))&lt;&gt;"nao",LOWER(TRIM(IFERROR(VLOOKUP(A195,'Cadastro Geral Campistas'!$A:$R,15,0),"")))&lt;&gt;"0")," | Alergia: "&amp;IFERROR(VLOOKUP(A195,'Cadastro Geral Campistas'!$A:$R,15,0),""),""),IF(AND(IFERROR(VLOOKUP(A195,'Cadastro Geral Campistas'!$A:$R,15,0),"")&lt;&gt;"",LOWER(TRIM(IFERROR(VLOOKUP(A195,'Cadastro Geral Campistas'!$A:$R,15,0),"")))&lt;&gt;"não",LOWER(TRIM(IFERROR(VLOOKUP(A195,'Cadastro Geral Campistas'!$A:$R,15,0),"")))&lt;&gt;"nao",LOWER(TRIM(IFERROR(VLOOKUP(A195,'Cadastro Geral Campistas'!$A:$R,15,0),"")))&lt;&gt;"0"),"Alergia: "&amp;IFERROR(VLOOKUP(A195,'Cadastro Geral Campistas'!$A:$R,15,0),""),""))))</f>
        <v>Alergia: Alergia a pimenta</v>
      </c>
      <c r="J195" s="85" t="str">
        <f>IFERROR(VLOOKUP(A195,'Cadastro Geral Campistas'!$A:$R,4,0),"")</f>
        <v>M</v>
      </c>
    </row>
    <row r="196" spans="1:10" ht="18" customHeight="1" x14ac:dyDescent="0.55000000000000004">
      <c r="A196" s="57">
        <v>90</v>
      </c>
      <c r="B196" s="7" t="str">
        <f>IFERROR(VLOOKUP(A196,'Cadastro Geral Campistas'!$A:$R,2,0),"")</f>
        <v>MARCILEI PEREIRA FARIA</v>
      </c>
      <c r="C196" s="6">
        <f>IFERROR(VLOOKUP(A196,'Cadastro Geral Campistas'!$A:$R,5,0),"")</f>
        <v>87</v>
      </c>
      <c r="D196" s="6">
        <f>IFERROR(VLOOKUP(A196,'Cadastro Geral Campistas'!$A:$R,6,0),"")</f>
        <v>1.8</v>
      </c>
      <c r="E196" s="6">
        <f>IFERROR(VLOOKUP(A196,'Cadastro Geral Campistas'!$A:$R,7,0),"")</f>
        <v>48</v>
      </c>
      <c r="F196" s="7" t="str">
        <f>IFERROR(VLOOKUP(A196,'Cadastro Geral Campistas'!$A:$R,9,0),"")</f>
        <v>GOIÂNIA</v>
      </c>
      <c r="G196" s="6" t="str">
        <f>IFERROR(VLOOKUP(A196,'Cadastro Geral Campistas'!$A:$R,3,0),"")</f>
        <v>G</v>
      </c>
      <c r="H196" s="7" t="str">
        <f>IFERROR(VLOOKUP(A196,'Cadastro Geral Campistas'!$A:$R,8,0),"")</f>
        <v>+55 (62) 99700-3388</v>
      </c>
      <c r="I196" s="101" t="str">
        <f>IF(AND(IFERROR(VLOOKUP(A196,'Cadastro Geral Campistas'!$A:$R,18,0),0)&gt;0,COUNTIF($A$184:$A$199,IFERROR(VLOOKUP(A196,'Cadastro Geral Campistas'!$A:$R,18,0),0))&gt;0),"⚠️ CONFLITO! Cônjuge na mesma tribo: "&amp;IFERROR(VLOOKUP(IFERROR(VLOOKUP(A196,'Cadastro Geral Campistas'!$A:$R,18,0),0),'Cadastro Geral Campistas'!$A:$R,2,""),""),TRIM(IF(AND(IFERROR(VLOOKUP(A196,'Cadastro Geral Campistas'!$A:$R,10,0),"")&lt;&gt;"",LOWER(TRIM(IFERROR(VLOOKUP(A196,'Cadastro Geral Campistas'!$A:$R,10,0),"")))&lt;&gt;"não",LOWER(TRIM(IFERROR(VLOOKUP(A196,'Cadastro Geral Campistas'!$A:$R,10,0),"")))&lt;&gt;"nao",LOWER(TRIM(IFERROR(VLOOKUP(A196,'Cadastro Geral Campistas'!$A:$R,10,0),"")))&lt;&gt;"0"),IFERROR(VLOOKUP(A196,'Cadastro Geral Campistas'!$A:$R,10,0),"")&amp;IF(AND(IFERROR(VLOOKUP(A196,'Cadastro Geral Campistas'!$A:$R,15,0),"")&lt;&gt;"",LOWER(TRIM(IFERROR(VLOOKUP(A196,'Cadastro Geral Campistas'!$A:$R,15,0),"")))&lt;&gt;"não",LOWER(TRIM(IFERROR(VLOOKUP(A196,'Cadastro Geral Campistas'!$A:$R,15,0),"")))&lt;&gt;"nao",LOWER(TRIM(IFERROR(VLOOKUP(A196,'Cadastro Geral Campistas'!$A:$R,15,0),"")))&lt;&gt;"0")," | Alergia: "&amp;IFERROR(VLOOKUP(A196,'Cadastro Geral Campistas'!$A:$R,15,0),""),""),IF(AND(IFERROR(VLOOKUP(A196,'Cadastro Geral Campistas'!$A:$R,15,0),"")&lt;&gt;"",LOWER(TRIM(IFERROR(VLOOKUP(A196,'Cadastro Geral Campistas'!$A:$R,15,0),"")))&lt;&gt;"não",LOWER(TRIM(IFERROR(VLOOKUP(A196,'Cadastro Geral Campistas'!$A:$R,15,0),"")))&lt;&gt;"nao",LOWER(TRIM(IFERROR(VLOOKUP(A196,'Cadastro Geral Campistas'!$A:$R,15,0),"")))&lt;&gt;"0"),"Alergia: "&amp;IFERROR(VLOOKUP(A196,'Cadastro Geral Campistas'!$A:$R,15,0),""),""))))</f>
        <v/>
      </c>
      <c r="J196" s="58" t="str">
        <f>IFERROR(VLOOKUP(A196,'Cadastro Geral Campistas'!$A:$R,4,0),"")</f>
        <v>M</v>
      </c>
    </row>
    <row r="197" spans="1:10" ht="18" customHeight="1" x14ac:dyDescent="0.55000000000000004">
      <c r="A197" s="84">
        <v>94</v>
      </c>
      <c r="B197" s="34" t="str">
        <f>IFERROR(VLOOKUP(A197,'Cadastro Geral Campistas'!$A:$R,2,0),"")</f>
        <v>Marcus Vinicius de Oliveira Rodrigues</v>
      </c>
      <c r="C197" s="35">
        <f>IFERROR(VLOOKUP(A197,'Cadastro Geral Campistas'!$A:$R,5,0),"")</f>
        <v>68</v>
      </c>
      <c r="D197" s="35">
        <f>IFERROR(VLOOKUP(A197,'Cadastro Geral Campistas'!$A:$R,6,0),"")</f>
        <v>1.8</v>
      </c>
      <c r="E197" s="35">
        <f>IFERROR(VLOOKUP(A197,'Cadastro Geral Campistas'!$A:$R,7,0),"")</f>
        <v>26</v>
      </c>
      <c r="F197" s="34" t="str">
        <f>IFERROR(VLOOKUP(A197,'Cadastro Geral Campistas'!$A:$R,9,0),"")</f>
        <v>Goiânia</v>
      </c>
      <c r="G197" s="35" t="str">
        <f>IFERROR(VLOOKUP(A197,'Cadastro Geral Campistas'!$A:$R,3,0),"")</f>
        <v>M</v>
      </c>
      <c r="H197" s="34" t="str">
        <f>IFERROR(VLOOKUP(A197,'Cadastro Geral Campistas'!$A:$R,8,0),"")</f>
        <v>+55 (64) 98152-0715</v>
      </c>
      <c r="I197" s="110" t="str">
        <f>IF(AND(IFERROR(VLOOKUP(A197,'Cadastro Geral Campistas'!$A:$R,18,0),0)&gt;0,COUNTIF($A$184:$A$199,IFERROR(VLOOKUP(A197,'Cadastro Geral Campistas'!$A:$R,18,0),0))&gt;0),"⚠️ CONFLITO! Cônjuge na mesma tribo: "&amp;IFERROR(VLOOKUP(IFERROR(VLOOKUP(A197,'Cadastro Geral Campistas'!$A:$R,18,0),0),'Cadastro Geral Campistas'!$A:$R,2,""),""),TRIM(IF(AND(IFERROR(VLOOKUP(A197,'Cadastro Geral Campistas'!$A:$R,10,0),"")&lt;&gt;"",LOWER(TRIM(IFERROR(VLOOKUP(A197,'Cadastro Geral Campistas'!$A:$R,10,0),"")))&lt;&gt;"não",LOWER(TRIM(IFERROR(VLOOKUP(A197,'Cadastro Geral Campistas'!$A:$R,10,0),"")))&lt;&gt;"nao",LOWER(TRIM(IFERROR(VLOOKUP(A197,'Cadastro Geral Campistas'!$A:$R,10,0),"")))&lt;&gt;"0"),IFERROR(VLOOKUP(A197,'Cadastro Geral Campistas'!$A:$R,10,0),"")&amp;IF(AND(IFERROR(VLOOKUP(A197,'Cadastro Geral Campistas'!$A:$R,15,0),"")&lt;&gt;"",LOWER(TRIM(IFERROR(VLOOKUP(A197,'Cadastro Geral Campistas'!$A:$R,15,0),"")))&lt;&gt;"não",LOWER(TRIM(IFERROR(VLOOKUP(A197,'Cadastro Geral Campistas'!$A:$R,15,0),"")))&lt;&gt;"nao",LOWER(TRIM(IFERROR(VLOOKUP(A197,'Cadastro Geral Campistas'!$A:$R,15,0),"")))&lt;&gt;"0")," | Alergia: "&amp;IFERROR(VLOOKUP(A197,'Cadastro Geral Campistas'!$A:$R,15,0),""),""),IF(AND(IFERROR(VLOOKUP(A197,'Cadastro Geral Campistas'!$A:$R,15,0),"")&lt;&gt;"",LOWER(TRIM(IFERROR(VLOOKUP(A197,'Cadastro Geral Campistas'!$A:$R,15,0),"")))&lt;&gt;"não",LOWER(TRIM(IFERROR(VLOOKUP(A197,'Cadastro Geral Campistas'!$A:$R,15,0),"")))&lt;&gt;"nao",LOWER(TRIM(IFERROR(VLOOKUP(A197,'Cadastro Geral Campistas'!$A:$R,15,0),"")))&lt;&gt;"0"),"Alergia: "&amp;IFERROR(VLOOKUP(A197,'Cadastro Geral Campistas'!$A:$R,15,0),""),""))))</f>
        <v>Alergia: crustáceos frutos do mar</v>
      </c>
      <c r="J197" s="85" t="str">
        <f>IFERROR(VLOOKUP(A197,'Cadastro Geral Campistas'!$A:$R,4,0),"")</f>
        <v>M</v>
      </c>
    </row>
    <row r="198" spans="1:10" ht="18" customHeight="1" x14ac:dyDescent="0.55000000000000004">
      <c r="A198" s="57">
        <v>122</v>
      </c>
      <c r="B198" s="7" t="str">
        <f>IFERROR(VLOOKUP(A198,'Cadastro Geral Campistas'!$A:$R,2,0),"")</f>
        <v>Rodrigo seronni frota</v>
      </c>
      <c r="C198" s="6">
        <f>IFERROR(VLOOKUP(A198,'Cadastro Geral Campistas'!$A:$R,5,0),"")</f>
        <v>83</v>
      </c>
      <c r="D198" s="6">
        <f>IFERROR(VLOOKUP(A198,'Cadastro Geral Campistas'!$A:$R,6,0),"")</f>
        <v>0</v>
      </c>
      <c r="E198" s="6">
        <f>IFERROR(VLOOKUP(A198,'Cadastro Geral Campistas'!$A:$R,7,0),"")</f>
        <v>46</v>
      </c>
      <c r="F198" s="7" t="str">
        <f>IFERROR(VLOOKUP(A198,'Cadastro Geral Campistas'!$A:$R,9,0),"")</f>
        <v>Goiânia</v>
      </c>
      <c r="G198" s="6" t="str">
        <f>IFERROR(VLOOKUP(A198,'Cadastro Geral Campistas'!$A:$R,3,0),"")</f>
        <v>G</v>
      </c>
      <c r="H198" s="7" t="str">
        <f>IFERROR(VLOOKUP(A198,'Cadastro Geral Campistas'!$A:$R,8,0),"")</f>
        <v>+55 (62) 98159-5545</v>
      </c>
      <c r="I198" s="101" t="str">
        <f>IF(AND(IFERROR(VLOOKUP(A198,'Cadastro Geral Campistas'!$A:$R,18,0),0)&gt;0,COUNTIF($A$184:$A$199,IFERROR(VLOOKUP(A198,'Cadastro Geral Campistas'!$A:$R,18,0),0))&gt;0),"⚠️ CONFLITO! Cônjuge na mesma tribo: "&amp;IFERROR(VLOOKUP(IFERROR(VLOOKUP(A198,'Cadastro Geral Campistas'!$A:$R,18,0),0),'Cadastro Geral Campistas'!$A:$R,2,""),""),TRIM(IF(AND(IFERROR(VLOOKUP(A198,'Cadastro Geral Campistas'!$A:$R,10,0),"")&lt;&gt;"",LOWER(TRIM(IFERROR(VLOOKUP(A198,'Cadastro Geral Campistas'!$A:$R,10,0),"")))&lt;&gt;"não",LOWER(TRIM(IFERROR(VLOOKUP(A198,'Cadastro Geral Campistas'!$A:$R,10,0),"")))&lt;&gt;"nao",LOWER(TRIM(IFERROR(VLOOKUP(A198,'Cadastro Geral Campistas'!$A:$R,10,0),"")))&lt;&gt;"0"),IFERROR(VLOOKUP(A198,'Cadastro Geral Campistas'!$A:$R,10,0),"")&amp;IF(AND(IFERROR(VLOOKUP(A198,'Cadastro Geral Campistas'!$A:$R,15,0),"")&lt;&gt;"",LOWER(TRIM(IFERROR(VLOOKUP(A198,'Cadastro Geral Campistas'!$A:$R,15,0),"")))&lt;&gt;"não",LOWER(TRIM(IFERROR(VLOOKUP(A198,'Cadastro Geral Campistas'!$A:$R,15,0),"")))&lt;&gt;"nao",LOWER(TRIM(IFERROR(VLOOKUP(A198,'Cadastro Geral Campistas'!$A:$R,15,0),"")))&lt;&gt;"0")," | Alergia: "&amp;IFERROR(VLOOKUP(A198,'Cadastro Geral Campistas'!$A:$R,15,0),""),""),IF(AND(IFERROR(VLOOKUP(A198,'Cadastro Geral Campistas'!$A:$R,15,0),"")&lt;&gt;"",LOWER(TRIM(IFERROR(VLOOKUP(A198,'Cadastro Geral Campistas'!$A:$R,15,0),"")))&lt;&gt;"não",LOWER(TRIM(IFERROR(VLOOKUP(A198,'Cadastro Geral Campistas'!$A:$R,15,0),"")))&lt;&gt;"nao",LOWER(TRIM(IFERROR(VLOOKUP(A198,'Cadastro Geral Campistas'!$A:$R,15,0),"")))&lt;&gt;"0"),"Alergia: "&amp;IFERROR(VLOOKUP(A198,'Cadastro Geral Campistas'!$A:$R,15,0),""),""))))</f>
        <v>Leonardo crispim</v>
      </c>
      <c r="J198" s="58" t="str">
        <f>IFERROR(VLOOKUP(A198,'Cadastro Geral Campistas'!$A:$R,4,0),"")</f>
        <v>M</v>
      </c>
    </row>
    <row r="199" spans="1:10" ht="18" customHeight="1" x14ac:dyDescent="0.55000000000000004">
      <c r="A199" s="84">
        <v>34</v>
      </c>
      <c r="B199" s="34" t="str">
        <f>IFERROR(VLOOKUP(A199,'Cadastro Geral Campistas'!$A:$R,2,0),"")</f>
        <v>eder ribeiro da silva</v>
      </c>
      <c r="C199" s="35">
        <f>IFERROR(VLOOKUP(A199,'Cadastro Geral Campistas'!$A:$R,5,0),"")</f>
        <v>75</v>
      </c>
      <c r="D199" s="35">
        <f>IFERROR(VLOOKUP(A199,'Cadastro Geral Campistas'!$A:$R,6,0),"")</f>
        <v>1.72</v>
      </c>
      <c r="E199" s="35">
        <f>IFERROR(VLOOKUP(A199,'Cadastro Geral Campistas'!$A:$R,7,0),"")</f>
        <v>43</v>
      </c>
      <c r="F199" s="34" t="str">
        <f>IFERROR(VLOOKUP(A199,'Cadastro Geral Campistas'!$A:$R,9,0),"")</f>
        <v>goiania</v>
      </c>
      <c r="G199" s="35" t="str">
        <f>IFERROR(VLOOKUP(A199,'Cadastro Geral Campistas'!$A:$R,3,0),"")</f>
        <v>M</v>
      </c>
      <c r="H199" s="34" t="str">
        <f>IFERROR(VLOOKUP(A199,'Cadastro Geral Campistas'!$A:$R,8,0),"")</f>
        <v>+55 (62) 99699-2468</v>
      </c>
      <c r="I199" s="110" t="str">
        <f>IF(AND(IFERROR(VLOOKUP(A199,'Cadastro Geral Campistas'!$A:$R,18,0),0)&gt;0,COUNTIF($A$184:$A$199,IFERROR(VLOOKUP(A199,'Cadastro Geral Campistas'!$A:$R,18,0),0))&gt;0),"⚠️ CONFLITO! Cônjuge na mesma tribo: "&amp;IFERROR(VLOOKUP(IFERROR(VLOOKUP(A199,'Cadastro Geral Campistas'!$A:$R,18,0),0),'Cadastro Geral Campistas'!$A:$R,2,""),""),TRIM(IF(AND(IFERROR(VLOOKUP(A199,'Cadastro Geral Campistas'!$A:$R,10,0),"")&lt;&gt;"",LOWER(TRIM(IFERROR(VLOOKUP(A199,'Cadastro Geral Campistas'!$A:$R,10,0),"")))&lt;&gt;"não",LOWER(TRIM(IFERROR(VLOOKUP(A199,'Cadastro Geral Campistas'!$A:$R,10,0),"")))&lt;&gt;"nao",LOWER(TRIM(IFERROR(VLOOKUP(A199,'Cadastro Geral Campistas'!$A:$R,10,0),"")))&lt;&gt;"0"),IFERROR(VLOOKUP(A199,'Cadastro Geral Campistas'!$A:$R,10,0),"")&amp;IF(AND(IFERROR(VLOOKUP(A199,'Cadastro Geral Campistas'!$A:$R,15,0),"")&lt;&gt;"",LOWER(TRIM(IFERROR(VLOOKUP(A199,'Cadastro Geral Campistas'!$A:$R,15,0),"")))&lt;&gt;"não",LOWER(TRIM(IFERROR(VLOOKUP(A199,'Cadastro Geral Campistas'!$A:$R,15,0),"")))&lt;&gt;"nao",LOWER(TRIM(IFERROR(VLOOKUP(A199,'Cadastro Geral Campistas'!$A:$R,15,0),"")))&lt;&gt;"0")," | Alergia: "&amp;IFERROR(VLOOKUP(A199,'Cadastro Geral Campistas'!$A:$R,15,0),""),""),IF(AND(IFERROR(VLOOKUP(A199,'Cadastro Geral Campistas'!$A:$R,15,0),"")&lt;&gt;"",LOWER(TRIM(IFERROR(VLOOKUP(A199,'Cadastro Geral Campistas'!$A:$R,15,0),"")))&lt;&gt;"não",LOWER(TRIM(IFERROR(VLOOKUP(A199,'Cadastro Geral Campistas'!$A:$R,15,0),"")))&lt;&gt;"nao",LOWER(TRIM(IFERROR(VLOOKUP(A199,'Cadastro Geral Campistas'!$A:$R,15,0),"")))&lt;&gt;"0"),"Alergia: "&amp;IFERROR(VLOOKUP(A199,'Cadastro Geral Campistas'!$A:$R,15,0),""),""))))</f>
        <v/>
      </c>
      <c r="J199" s="85" t="str">
        <f>IFERROR(VLOOKUP(A199,'Cadastro Geral Campistas'!$A:$R,4,0),"")</f>
        <v>M</v>
      </c>
    </row>
    <row r="200" spans="1:10" x14ac:dyDescent="0.55000000000000004">
      <c r="A200" s="61" t="s">
        <v>17</v>
      </c>
      <c r="B200" s="20"/>
      <c r="C200" s="20">
        <f>IFERROR(ROUND(AVERAGE(C184:C199),1),"")</f>
        <v>77.400000000000006</v>
      </c>
      <c r="D200" s="20"/>
      <c r="E200" s="20">
        <f>IFERROR(ROUND(AVERAGE(E184:E199),1),"")</f>
        <v>39.700000000000003</v>
      </c>
      <c r="F200" s="116"/>
      <c r="G200" s="104"/>
      <c r="H200" s="104"/>
      <c r="I200" s="126" t="str">
        <f>COUNTIF(J184:J199,"F")&amp;"  F    |    "&amp;COUNTIF(J184:J199,"M")&amp;"  M"</f>
        <v>8  F    |    8  M</v>
      </c>
      <c r="J200" s="127"/>
    </row>
    <row r="201" spans="1:10" x14ac:dyDescent="0.55000000000000004">
      <c r="A201" s="118"/>
      <c r="B201" s="119"/>
      <c r="C201" s="119"/>
      <c r="D201" s="119"/>
      <c r="E201" s="119"/>
      <c r="F201" s="119"/>
      <c r="G201" s="119"/>
      <c r="H201" s="119"/>
      <c r="I201" s="138" t="s">
        <v>18</v>
      </c>
      <c r="J201" s="131"/>
    </row>
    <row r="202" spans="1:10" x14ac:dyDescent="0.55000000000000004">
      <c r="A202" s="120"/>
      <c r="B202" s="121"/>
      <c r="C202" s="121"/>
      <c r="D202" s="121"/>
      <c r="E202" s="121"/>
      <c r="F202" s="121"/>
      <c r="G202" s="121"/>
      <c r="H202" s="121"/>
      <c r="I202" s="124" t="s">
        <v>89</v>
      </c>
      <c r="J202" s="125"/>
    </row>
    <row r="203" spans="1:10" x14ac:dyDescent="0.55000000000000004">
      <c r="A203" s="120"/>
      <c r="B203" s="121"/>
      <c r="C203" s="121"/>
      <c r="D203" s="121"/>
      <c r="E203" s="121"/>
      <c r="F203" s="121"/>
      <c r="G203" s="121"/>
      <c r="H203" s="121"/>
      <c r="I203" s="124" t="s">
        <v>90</v>
      </c>
      <c r="J203" s="125"/>
    </row>
    <row r="204" spans="1:10" x14ac:dyDescent="0.55000000000000004">
      <c r="A204" s="120"/>
      <c r="B204" s="121"/>
      <c r="C204" s="121"/>
      <c r="D204" s="121"/>
      <c r="E204" s="121"/>
      <c r="F204" s="121"/>
      <c r="G204" s="121"/>
      <c r="H204" s="121"/>
      <c r="I204" s="124" t="s">
        <v>91</v>
      </c>
      <c r="J204" s="125"/>
    </row>
    <row r="205" spans="1:10" x14ac:dyDescent="0.55000000000000004">
      <c r="A205" s="120"/>
      <c r="B205" s="121"/>
      <c r="C205" s="121"/>
      <c r="D205" s="121"/>
      <c r="E205" s="121"/>
      <c r="F205" s="121"/>
      <c r="G205" s="121"/>
      <c r="H205" s="121"/>
      <c r="I205" s="124" t="s">
        <v>92</v>
      </c>
      <c r="J205" s="125"/>
    </row>
    <row r="206" spans="1:10" x14ac:dyDescent="0.55000000000000004">
      <c r="A206" s="120"/>
      <c r="B206" s="121"/>
      <c r="C206" s="121"/>
      <c r="D206" s="121"/>
      <c r="E206" s="121"/>
      <c r="F206" s="121"/>
      <c r="G206" s="121"/>
      <c r="H206" s="121"/>
      <c r="I206" s="124" t="s">
        <v>93</v>
      </c>
      <c r="J206" s="125"/>
    </row>
    <row r="207" spans="1:10" x14ac:dyDescent="0.55000000000000004">
      <c r="A207" s="120"/>
      <c r="B207" s="121"/>
      <c r="C207" s="121"/>
      <c r="D207" s="121"/>
      <c r="E207" s="121"/>
      <c r="F207" s="121"/>
      <c r="G207" s="121"/>
      <c r="H207" s="121"/>
      <c r="I207" s="124" t="s">
        <v>94</v>
      </c>
      <c r="J207" s="125"/>
    </row>
    <row r="208" spans="1:10" x14ac:dyDescent="0.55000000000000004">
      <c r="A208" s="120"/>
      <c r="B208" s="121"/>
      <c r="C208" s="121"/>
      <c r="D208" s="121"/>
      <c r="E208" s="121"/>
      <c r="F208" s="121"/>
      <c r="G208" s="121"/>
      <c r="H208" s="121"/>
      <c r="I208" s="124" t="s">
        <v>95</v>
      </c>
      <c r="J208" s="125"/>
    </row>
    <row r="209" spans="1:10" x14ac:dyDescent="0.55000000000000004">
      <c r="A209" s="120"/>
      <c r="B209" s="121"/>
      <c r="C209" s="121"/>
      <c r="D209" s="121"/>
      <c r="E209" s="121"/>
      <c r="F209" s="121"/>
      <c r="G209" s="121"/>
      <c r="H209" s="121"/>
      <c r="I209" s="124" t="s">
        <v>96</v>
      </c>
      <c r="J209" s="125"/>
    </row>
    <row r="210" spans="1:10" ht="14.7" customHeight="1" thickBot="1" x14ac:dyDescent="0.6">
      <c r="A210" s="122"/>
      <c r="B210" s="123"/>
      <c r="C210" s="123"/>
      <c r="D210" s="123"/>
      <c r="E210" s="123"/>
      <c r="F210" s="123"/>
      <c r="G210" s="123"/>
      <c r="H210" s="123"/>
      <c r="I210" s="132" t="s">
        <v>97</v>
      </c>
      <c r="J210" s="133"/>
    </row>
    <row r="211" spans="1:10" ht="28" customHeight="1" x14ac:dyDescent="0.55000000000000004">
      <c r="A211" s="179" t="s">
        <v>98</v>
      </c>
      <c r="B211" s="136"/>
      <c r="C211" s="136"/>
      <c r="D211" s="136"/>
      <c r="E211" s="169" t="s">
        <v>99</v>
      </c>
      <c r="F211" s="136"/>
      <c r="G211" s="136"/>
      <c r="H211" s="136"/>
      <c r="I211" s="136"/>
      <c r="J211" s="144"/>
    </row>
    <row r="212" spans="1:10" x14ac:dyDescent="0.55000000000000004">
      <c r="A212" s="149" t="s">
        <v>2</v>
      </c>
      <c r="B212" s="121"/>
      <c r="C212" s="121"/>
      <c r="D212" s="128"/>
      <c r="E212" s="121"/>
      <c r="F212" s="121"/>
      <c r="G212" s="140" t="s">
        <v>3</v>
      </c>
      <c r="H212" s="121"/>
      <c r="I212" s="121"/>
      <c r="J212" s="125"/>
    </row>
    <row r="213" spans="1:10" x14ac:dyDescent="0.55000000000000004">
      <c r="A213" s="120"/>
      <c r="B213" s="121"/>
      <c r="C213" s="121"/>
      <c r="D213" s="121"/>
      <c r="E213" s="121"/>
      <c r="F213" s="121"/>
      <c r="G213" s="121"/>
      <c r="H213" s="121"/>
      <c r="I213" s="121"/>
      <c r="J213" s="125"/>
    </row>
    <row r="214" spans="1:10" x14ac:dyDescent="0.55000000000000004">
      <c r="A214" s="120"/>
      <c r="B214" s="121"/>
      <c r="C214" s="121"/>
      <c r="D214" s="121"/>
      <c r="E214" s="121"/>
      <c r="F214" s="121"/>
      <c r="G214" s="121"/>
      <c r="H214" s="121"/>
      <c r="I214" s="121"/>
      <c r="J214" s="125"/>
    </row>
    <row r="215" spans="1:10" x14ac:dyDescent="0.55000000000000004">
      <c r="A215" s="170" t="s">
        <v>100</v>
      </c>
      <c r="B215" s="121"/>
      <c r="C215" s="121"/>
      <c r="D215" s="121"/>
      <c r="E215" s="121"/>
      <c r="F215" s="121"/>
      <c r="G215" s="153" t="s">
        <v>101</v>
      </c>
      <c r="H215" s="121"/>
      <c r="I215" s="121"/>
      <c r="J215" s="125"/>
    </row>
    <row r="216" spans="1:10" x14ac:dyDescent="0.55000000000000004">
      <c r="A216" s="170" t="s">
        <v>102</v>
      </c>
      <c r="B216" s="121"/>
      <c r="C216" s="121"/>
      <c r="D216" s="121"/>
      <c r="E216" s="121"/>
      <c r="F216" s="121"/>
      <c r="G216" s="145"/>
      <c r="H216" s="121"/>
      <c r="I216" s="121"/>
      <c r="J216" s="125"/>
    </row>
    <row r="217" spans="1:10" x14ac:dyDescent="0.55000000000000004">
      <c r="A217" s="162"/>
      <c r="B217" s="129"/>
      <c r="C217" s="129"/>
      <c r="D217" s="129"/>
      <c r="E217" s="129"/>
      <c r="F217" s="129"/>
      <c r="G217" s="129"/>
      <c r="H217" s="129"/>
      <c r="I217" s="129"/>
      <c r="J217" s="146"/>
    </row>
    <row r="218" spans="1:10" x14ac:dyDescent="0.55000000000000004">
      <c r="A218" s="86" t="s">
        <v>7</v>
      </c>
      <c r="B218" s="36" t="s">
        <v>8</v>
      </c>
      <c r="C218" s="36" t="s">
        <v>9</v>
      </c>
      <c r="D218" s="36" t="s">
        <v>10</v>
      </c>
      <c r="E218" s="36" t="s">
        <v>11</v>
      </c>
      <c r="F218" s="36" t="s">
        <v>12</v>
      </c>
      <c r="G218" s="36" t="s">
        <v>13</v>
      </c>
      <c r="H218" s="36" t="s">
        <v>14</v>
      </c>
      <c r="I218" s="36" t="s">
        <v>15</v>
      </c>
      <c r="J218" s="87" t="s">
        <v>16</v>
      </c>
    </row>
    <row r="219" spans="1:10" ht="18" customHeight="1" x14ac:dyDescent="0.55000000000000004">
      <c r="A219" s="57">
        <v>18</v>
      </c>
      <c r="B219" s="7" t="str">
        <f>IFERROR(VLOOKUP(A219,'Cadastro Geral Campistas'!$A:$R,2,0),"")</f>
        <v>Carla Rodrigues Ferreira</v>
      </c>
      <c r="C219" s="6">
        <f>IFERROR(VLOOKUP(A219,'Cadastro Geral Campistas'!$A:$R,5,0),"")</f>
        <v>60</v>
      </c>
      <c r="D219" s="6">
        <f>IFERROR(VLOOKUP(A219,'Cadastro Geral Campistas'!$A:$R,6,0),"")</f>
        <v>1.65</v>
      </c>
      <c r="E219" s="6">
        <f>IFERROR(VLOOKUP(A219,'Cadastro Geral Campistas'!$A:$R,7,0),"")</f>
        <v>46</v>
      </c>
      <c r="F219" s="7" t="str">
        <f>IFERROR(VLOOKUP(A219,'Cadastro Geral Campistas'!$A:$R,9,0),"")</f>
        <v>Goiânia</v>
      </c>
      <c r="G219" s="6" t="str">
        <f>IFERROR(VLOOKUP(A219,'Cadastro Geral Campistas'!$A:$R,3,0),"")</f>
        <v>P</v>
      </c>
      <c r="H219" s="7" t="str">
        <f>IFERROR(VLOOKUP(A219,'Cadastro Geral Campistas'!$A:$R,8,0),"")</f>
        <v>+55 (62) 98325-7488</v>
      </c>
      <c r="I219" s="101" t="str">
        <f>IF(AND(IFERROR(VLOOKUP(A219,'Cadastro Geral Campistas'!$A:$R,18,0),0)&gt;0,COUNTIF($A$219:$A$234,IFERROR(VLOOKUP(A219,'Cadastro Geral Campistas'!$A:$R,18,0),0))&gt;0),"⚠️ CONFLITO! Cônjuge na mesma tribo: "&amp;IFERROR(VLOOKUP(IFERROR(VLOOKUP(A219,'Cadastro Geral Campistas'!$A:$R,18,0),0),'Cadastro Geral Campistas'!$A:$R,2,""),""),TRIM(IF(AND(IFERROR(VLOOKUP(A219,'Cadastro Geral Campistas'!$A:$R,10,0),"")&lt;&gt;"",LOWER(TRIM(IFERROR(VLOOKUP(A219,'Cadastro Geral Campistas'!$A:$R,10,0),"")))&lt;&gt;"não",LOWER(TRIM(IFERROR(VLOOKUP(A219,'Cadastro Geral Campistas'!$A:$R,10,0),"")))&lt;&gt;"nao",LOWER(TRIM(IFERROR(VLOOKUP(A219,'Cadastro Geral Campistas'!$A:$R,10,0),"")))&lt;&gt;"0"),IFERROR(VLOOKUP(A219,'Cadastro Geral Campistas'!$A:$R,10,0),"")&amp;IF(AND(IFERROR(VLOOKUP(A219,'Cadastro Geral Campistas'!$A:$R,15,0),"")&lt;&gt;"",LOWER(TRIM(IFERROR(VLOOKUP(A219,'Cadastro Geral Campistas'!$A:$R,15,0),"")))&lt;&gt;"não",LOWER(TRIM(IFERROR(VLOOKUP(A219,'Cadastro Geral Campistas'!$A:$R,15,0),"")))&lt;&gt;"nao",LOWER(TRIM(IFERROR(VLOOKUP(A219,'Cadastro Geral Campistas'!$A:$R,15,0),"")))&lt;&gt;"0")," | Alergia: "&amp;IFERROR(VLOOKUP(A219,'Cadastro Geral Campistas'!$A:$R,15,0),""),""),IF(AND(IFERROR(VLOOKUP(A219,'Cadastro Geral Campistas'!$A:$R,15,0),"")&lt;&gt;"",LOWER(TRIM(IFERROR(VLOOKUP(A219,'Cadastro Geral Campistas'!$A:$R,15,0),"")))&lt;&gt;"não",LOWER(TRIM(IFERROR(VLOOKUP(A219,'Cadastro Geral Campistas'!$A:$R,15,0),"")))&lt;&gt;"nao",LOWER(TRIM(IFERROR(VLOOKUP(A219,'Cadastro Geral Campistas'!$A:$R,15,0),"")))&lt;&gt;"0"),"Alergia: "&amp;IFERROR(VLOOKUP(A219,'Cadastro Geral Campistas'!$A:$R,15,0),""),""))))</f>
        <v/>
      </c>
      <c r="J219" s="58" t="str">
        <f>IFERROR(VLOOKUP(A219,'Cadastro Geral Campistas'!$A:$R,4,0),"")</f>
        <v>F</v>
      </c>
    </row>
    <row r="220" spans="1:10" ht="18" customHeight="1" x14ac:dyDescent="0.55000000000000004">
      <c r="A220" s="88">
        <v>38</v>
      </c>
      <c r="B220" s="37" t="str">
        <f>IFERROR(VLOOKUP(A220,'Cadastro Geral Campistas'!$A:$R,2,0),"")</f>
        <v>Eliete Fátima Guimarães</v>
      </c>
      <c r="C220" s="38">
        <f>IFERROR(VLOOKUP(A220,'Cadastro Geral Campistas'!$A:$R,5,0),"")</f>
        <v>58</v>
      </c>
      <c r="D220" s="38">
        <f>IFERROR(VLOOKUP(A220,'Cadastro Geral Campistas'!$A:$R,6,0),"")</f>
        <v>1.55</v>
      </c>
      <c r="E220" s="38">
        <f>IFERROR(VLOOKUP(A220,'Cadastro Geral Campistas'!$A:$R,7,0),"")</f>
        <v>68</v>
      </c>
      <c r="F220" s="37" t="str">
        <f>IFERROR(VLOOKUP(A220,'Cadastro Geral Campistas'!$A:$R,9,0),"")</f>
        <v>Caçu</v>
      </c>
      <c r="G220" s="38" t="str">
        <f>IFERROR(VLOOKUP(A220,'Cadastro Geral Campistas'!$A:$R,3,0),"")</f>
        <v>M</v>
      </c>
      <c r="H220" s="37" t="str">
        <f>IFERROR(VLOOKUP(A220,'Cadastro Geral Campistas'!$A:$R,8,0),"")</f>
        <v>+55 (64) 98431-2836</v>
      </c>
      <c r="I220" s="111" t="str">
        <f>IF(AND(IFERROR(VLOOKUP(A220,'Cadastro Geral Campistas'!$A:$R,18,0),0)&gt;0,COUNTIF($A$219:$A$234,IFERROR(VLOOKUP(A220,'Cadastro Geral Campistas'!$A:$R,18,0),0))&gt;0),"⚠️ CONFLITO! Cônjuge na mesma tribo: "&amp;IFERROR(VLOOKUP(IFERROR(VLOOKUP(A220,'Cadastro Geral Campistas'!$A:$R,18,0),0),'Cadastro Geral Campistas'!$A:$R,2,""),""),TRIM(IF(AND(IFERROR(VLOOKUP(A220,'Cadastro Geral Campistas'!$A:$R,10,0),"")&lt;&gt;"",LOWER(TRIM(IFERROR(VLOOKUP(A220,'Cadastro Geral Campistas'!$A:$R,10,0),"")))&lt;&gt;"não",LOWER(TRIM(IFERROR(VLOOKUP(A220,'Cadastro Geral Campistas'!$A:$R,10,0),"")))&lt;&gt;"nao",LOWER(TRIM(IFERROR(VLOOKUP(A220,'Cadastro Geral Campistas'!$A:$R,10,0),"")))&lt;&gt;"0"),IFERROR(VLOOKUP(A220,'Cadastro Geral Campistas'!$A:$R,10,0),"")&amp;IF(AND(IFERROR(VLOOKUP(A220,'Cadastro Geral Campistas'!$A:$R,15,0),"")&lt;&gt;"",LOWER(TRIM(IFERROR(VLOOKUP(A220,'Cadastro Geral Campistas'!$A:$R,15,0),"")))&lt;&gt;"não",LOWER(TRIM(IFERROR(VLOOKUP(A220,'Cadastro Geral Campistas'!$A:$R,15,0),"")))&lt;&gt;"nao",LOWER(TRIM(IFERROR(VLOOKUP(A220,'Cadastro Geral Campistas'!$A:$R,15,0),"")))&lt;&gt;"0")," | Alergia: "&amp;IFERROR(VLOOKUP(A220,'Cadastro Geral Campistas'!$A:$R,15,0),""),""),IF(AND(IFERROR(VLOOKUP(A220,'Cadastro Geral Campistas'!$A:$R,15,0),"")&lt;&gt;"",LOWER(TRIM(IFERROR(VLOOKUP(A220,'Cadastro Geral Campistas'!$A:$R,15,0),"")))&lt;&gt;"não",LOWER(TRIM(IFERROR(VLOOKUP(A220,'Cadastro Geral Campistas'!$A:$R,15,0),"")))&lt;&gt;"nao",LOWER(TRIM(IFERROR(VLOOKUP(A220,'Cadastro Geral Campistas'!$A:$R,15,0),"")))&lt;&gt;"0"),"Alergia: "&amp;IFERROR(VLOOKUP(A220,'Cadastro Geral Campistas'!$A:$R,15,0),""),""))))</f>
        <v>Sim. Adejar (marido) e Catarina Elzi (conhecida) | Alergia: Não que eu saiba</v>
      </c>
      <c r="J220" s="89" t="str">
        <f>IFERROR(VLOOKUP(A220,'Cadastro Geral Campistas'!$A:$R,4,0),"")</f>
        <v>F</v>
      </c>
    </row>
    <row r="221" spans="1:10" ht="18" customHeight="1" x14ac:dyDescent="0.55000000000000004">
      <c r="A221" s="57">
        <v>68</v>
      </c>
      <c r="B221" s="7" t="str">
        <f>IFERROR(VLOOKUP(A221,'Cadastro Geral Campistas'!$A:$R,2,0),"")</f>
        <v>Julia Jayme Maia</v>
      </c>
      <c r="C221" s="6">
        <f>IFERROR(VLOOKUP(A221,'Cadastro Geral Campistas'!$A:$R,5,0),"")</f>
        <v>60</v>
      </c>
      <c r="D221" s="6">
        <f>IFERROR(VLOOKUP(A221,'Cadastro Geral Campistas'!$A:$R,6,0),"")</f>
        <v>1.6</v>
      </c>
      <c r="E221" s="6">
        <f>IFERROR(VLOOKUP(A221,'Cadastro Geral Campistas'!$A:$R,7,0),"")</f>
        <v>24</v>
      </c>
      <c r="F221" s="7" t="str">
        <f>IFERROR(VLOOKUP(A221,'Cadastro Geral Campistas'!$A:$R,9,0),"")</f>
        <v>Goiânia</v>
      </c>
      <c r="G221" s="6" t="str">
        <f>IFERROR(VLOOKUP(A221,'Cadastro Geral Campistas'!$A:$R,3,0),"")</f>
        <v>P</v>
      </c>
      <c r="H221" s="7" t="str">
        <f>IFERROR(VLOOKUP(A221,'Cadastro Geral Campistas'!$A:$R,8,0),"")</f>
        <v>+55 (62) 98253-1424</v>
      </c>
      <c r="I221" s="101" t="str">
        <f>IF(AND(IFERROR(VLOOKUP(A221,'Cadastro Geral Campistas'!$A:$R,18,0),0)&gt;0,COUNTIF($A$219:$A$234,IFERROR(VLOOKUP(A221,'Cadastro Geral Campistas'!$A:$R,18,0),0))&gt;0),"⚠️ CONFLITO! Cônjuge na mesma tribo: "&amp;IFERROR(VLOOKUP(IFERROR(VLOOKUP(A221,'Cadastro Geral Campistas'!$A:$R,18,0),0),'Cadastro Geral Campistas'!$A:$R,2,""),""),TRIM(IF(AND(IFERROR(VLOOKUP(A221,'Cadastro Geral Campistas'!$A:$R,10,0),"")&lt;&gt;"",LOWER(TRIM(IFERROR(VLOOKUP(A221,'Cadastro Geral Campistas'!$A:$R,10,0),"")))&lt;&gt;"não",LOWER(TRIM(IFERROR(VLOOKUP(A221,'Cadastro Geral Campistas'!$A:$R,10,0),"")))&lt;&gt;"nao",LOWER(TRIM(IFERROR(VLOOKUP(A221,'Cadastro Geral Campistas'!$A:$R,10,0),"")))&lt;&gt;"0"),IFERROR(VLOOKUP(A221,'Cadastro Geral Campistas'!$A:$R,10,0),"")&amp;IF(AND(IFERROR(VLOOKUP(A221,'Cadastro Geral Campistas'!$A:$R,15,0),"")&lt;&gt;"",LOWER(TRIM(IFERROR(VLOOKUP(A221,'Cadastro Geral Campistas'!$A:$R,15,0),"")))&lt;&gt;"não",LOWER(TRIM(IFERROR(VLOOKUP(A221,'Cadastro Geral Campistas'!$A:$R,15,0),"")))&lt;&gt;"nao",LOWER(TRIM(IFERROR(VLOOKUP(A221,'Cadastro Geral Campistas'!$A:$R,15,0),"")))&lt;&gt;"0")," | Alergia: "&amp;IFERROR(VLOOKUP(A221,'Cadastro Geral Campistas'!$A:$R,15,0),""),""),IF(AND(IFERROR(VLOOKUP(A221,'Cadastro Geral Campistas'!$A:$R,15,0),"")&lt;&gt;"",LOWER(TRIM(IFERROR(VLOOKUP(A221,'Cadastro Geral Campistas'!$A:$R,15,0),"")))&lt;&gt;"não",LOWER(TRIM(IFERROR(VLOOKUP(A221,'Cadastro Geral Campistas'!$A:$R,15,0),"")))&lt;&gt;"nao",LOWER(TRIM(IFERROR(VLOOKUP(A221,'Cadastro Geral Campistas'!$A:$R,15,0),"")))&lt;&gt;"0"),"Alergia: "&amp;IFERROR(VLOOKUP(A221,'Cadastro Geral Campistas'!$A:$R,15,0),""),""))))</f>
        <v>Sim, Carol, Lucas, Thyago, Nayara</v>
      </c>
      <c r="J221" s="58" t="str">
        <f>IFERROR(VLOOKUP(A221,'Cadastro Geral Campistas'!$A:$R,4,0),"")</f>
        <v>F</v>
      </c>
    </row>
    <row r="222" spans="1:10" ht="18" customHeight="1" x14ac:dyDescent="0.55000000000000004">
      <c r="A222" s="88">
        <v>95</v>
      </c>
      <c r="B222" s="37" t="str">
        <f>IFERROR(VLOOKUP(A222,'Cadastro Geral Campistas'!$A:$R,2,0),"")</f>
        <v>Maria Aparecida Fonseca Pereira</v>
      </c>
      <c r="C222" s="38">
        <f>IFERROR(VLOOKUP(A222,'Cadastro Geral Campistas'!$A:$R,5,0),"")</f>
        <v>55</v>
      </c>
      <c r="D222" s="38">
        <f>IFERROR(VLOOKUP(A222,'Cadastro Geral Campistas'!$A:$R,6,0),"")</f>
        <v>1.48</v>
      </c>
      <c r="E222" s="38">
        <f>IFERROR(VLOOKUP(A222,'Cadastro Geral Campistas'!$A:$R,7,0),"")</f>
        <v>68</v>
      </c>
      <c r="F222" s="37" t="str">
        <f>IFERROR(VLOOKUP(A222,'Cadastro Geral Campistas'!$A:$R,9,0),"")</f>
        <v>Goiânia-GO</v>
      </c>
      <c r="G222" s="38" t="str">
        <f>IFERROR(VLOOKUP(A222,'Cadastro Geral Campistas'!$A:$R,3,0),"")</f>
        <v>M</v>
      </c>
      <c r="H222" s="37" t="str">
        <f>IFERROR(VLOOKUP(A222,'Cadastro Geral Campistas'!$A:$R,8,0),"")</f>
        <v>+55 (62) 99676-2111</v>
      </c>
      <c r="I222" s="111" t="str">
        <f>IF(AND(IFERROR(VLOOKUP(A222,'Cadastro Geral Campistas'!$A:$R,18,0),0)&gt;0,COUNTIF($A$219:$A$234,IFERROR(VLOOKUP(A222,'Cadastro Geral Campistas'!$A:$R,18,0),0))&gt;0),"⚠️ CONFLITO! Cônjuge na mesma tribo: "&amp;IFERROR(VLOOKUP(IFERROR(VLOOKUP(A222,'Cadastro Geral Campistas'!$A:$R,18,0),0),'Cadastro Geral Campistas'!$A:$R,2,""),""),TRIM(IF(AND(IFERROR(VLOOKUP(A222,'Cadastro Geral Campistas'!$A:$R,10,0),"")&lt;&gt;"",LOWER(TRIM(IFERROR(VLOOKUP(A222,'Cadastro Geral Campistas'!$A:$R,10,0),"")))&lt;&gt;"não",LOWER(TRIM(IFERROR(VLOOKUP(A222,'Cadastro Geral Campistas'!$A:$R,10,0),"")))&lt;&gt;"nao",LOWER(TRIM(IFERROR(VLOOKUP(A222,'Cadastro Geral Campistas'!$A:$R,10,0),"")))&lt;&gt;"0"),IFERROR(VLOOKUP(A222,'Cadastro Geral Campistas'!$A:$R,10,0),"")&amp;IF(AND(IFERROR(VLOOKUP(A222,'Cadastro Geral Campistas'!$A:$R,15,0),"")&lt;&gt;"",LOWER(TRIM(IFERROR(VLOOKUP(A222,'Cadastro Geral Campistas'!$A:$R,15,0),"")))&lt;&gt;"não",LOWER(TRIM(IFERROR(VLOOKUP(A222,'Cadastro Geral Campistas'!$A:$R,15,0),"")))&lt;&gt;"nao",LOWER(TRIM(IFERROR(VLOOKUP(A222,'Cadastro Geral Campistas'!$A:$R,15,0),"")))&lt;&gt;"0")," | Alergia: "&amp;IFERROR(VLOOKUP(A222,'Cadastro Geral Campistas'!$A:$R,15,0),""),""),IF(AND(IFERROR(VLOOKUP(A222,'Cadastro Geral Campistas'!$A:$R,15,0),"")&lt;&gt;"",LOWER(TRIM(IFERROR(VLOOKUP(A222,'Cadastro Geral Campistas'!$A:$R,15,0),"")))&lt;&gt;"não",LOWER(TRIM(IFERROR(VLOOKUP(A222,'Cadastro Geral Campistas'!$A:$R,15,0),"")))&lt;&gt;"nao",LOWER(TRIM(IFERROR(VLOOKUP(A222,'Cadastro Geral Campistas'!$A:$R,15,0),"")))&lt;&gt;"0"),"Alergia: "&amp;IFERROR(VLOOKUP(A222,'Cadastro Geral Campistas'!$A:$R,15,0),""),""))))</f>
        <v>não que eu saiba</v>
      </c>
      <c r="J222" s="89" t="str">
        <f>IFERROR(VLOOKUP(A222,'Cadastro Geral Campistas'!$A:$R,4,0),"")</f>
        <v>F</v>
      </c>
    </row>
    <row r="223" spans="1:10" ht="18" customHeight="1" x14ac:dyDescent="0.55000000000000004">
      <c r="A223" s="57">
        <v>118</v>
      </c>
      <c r="B223" s="7" t="str">
        <f>IFERROR(VLOOKUP(A223,'Cadastro Geral Campistas'!$A:$R,2,0),"")</f>
        <v>POLLYANA MEDEIROS VILAR</v>
      </c>
      <c r="C223" s="6">
        <f>IFERROR(VLOOKUP(A223,'Cadastro Geral Campistas'!$A:$R,5,0),"")</f>
        <v>66</v>
      </c>
      <c r="D223" s="6">
        <f>IFERROR(VLOOKUP(A223,'Cadastro Geral Campistas'!$A:$R,6,0),"")</f>
        <v>1.64</v>
      </c>
      <c r="E223" s="6">
        <f>IFERROR(VLOOKUP(A223,'Cadastro Geral Campistas'!$A:$R,7,0),"")</f>
        <v>33</v>
      </c>
      <c r="F223" s="7" t="str">
        <f>IFERROR(VLOOKUP(A223,'Cadastro Geral Campistas'!$A:$R,9,0),"")</f>
        <v>Goiânia</v>
      </c>
      <c r="G223" s="6" t="str">
        <f>IFERROR(VLOOKUP(A223,'Cadastro Geral Campistas'!$A:$R,3,0),"")</f>
        <v>M</v>
      </c>
      <c r="H223" s="7" t="str">
        <f>IFERROR(VLOOKUP(A223,'Cadastro Geral Campistas'!$A:$R,8,0),"")</f>
        <v>+55 (62) 99161-8525</v>
      </c>
      <c r="I223" s="101" t="str">
        <f>IF(AND(IFERROR(VLOOKUP(A223,'Cadastro Geral Campistas'!$A:$R,18,0),0)&gt;0,COUNTIF($A$219:$A$234,IFERROR(VLOOKUP(A223,'Cadastro Geral Campistas'!$A:$R,18,0),0))&gt;0),"⚠️ CONFLITO! Cônjuge na mesma tribo: "&amp;IFERROR(VLOOKUP(IFERROR(VLOOKUP(A223,'Cadastro Geral Campistas'!$A:$R,18,0),0),'Cadastro Geral Campistas'!$A:$R,2,""),""),TRIM(IF(AND(IFERROR(VLOOKUP(A223,'Cadastro Geral Campistas'!$A:$R,10,0),"")&lt;&gt;"",LOWER(TRIM(IFERROR(VLOOKUP(A223,'Cadastro Geral Campistas'!$A:$R,10,0),"")))&lt;&gt;"não",LOWER(TRIM(IFERROR(VLOOKUP(A223,'Cadastro Geral Campistas'!$A:$R,10,0),"")))&lt;&gt;"nao",LOWER(TRIM(IFERROR(VLOOKUP(A223,'Cadastro Geral Campistas'!$A:$R,10,0),"")))&lt;&gt;"0"),IFERROR(VLOOKUP(A223,'Cadastro Geral Campistas'!$A:$R,10,0),"")&amp;IF(AND(IFERROR(VLOOKUP(A223,'Cadastro Geral Campistas'!$A:$R,15,0),"")&lt;&gt;"",LOWER(TRIM(IFERROR(VLOOKUP(A223,'Cadastro Geral Campistas'!$A:$R,15,0),"")))&lt;&gt;"não",LOWER(TRIM(IFERROR(VLOOKUP(A223,'Cadastro Geral Campistas'!$A:$R,15,0),"")))&lt;&gt;"nao",LOWER(TRIM(IFERROR(VLOOKUP(A223,'Cadastro Geral Campistas'!$A:$R,15,0),"")))&lt;&gt;"0")," | Alergia: "&amp;IFERROR(VLOOKUP(A223,'Cadastro Geral Campistas'!$A:$R,15,0),""),""),IF(AND(IFERROR(VLOOKUP(A223,'Cadastro Geral Campistas'!$A:$R,15,0),"")&lt;&gt;"",LOWER(TRIM(IFERROR(VLOOKUP(A223,'Cadastro Geral Campistas'!$A:$R,15,0),"")))&lt;&gt;"não",LOWER(TRIM(IFERROR(VLOOKUP(A223,'Cadastro Geral Campistas'!$A:$R,15,0),"")))&lt;&gt;"nao",LOWER(TRIM(IFERROR(VLOOKUP(A223,'Cadastro Geral Campistas'!$A:$R,15,0),"")))&lt;&gt;"0"),"Alergia: "&amp;IFERROR(VLOOKUP(A223,'Cadastro Geral Campistas'!$A:$R,15,0),""),""))))</f>
        <v>Bárbara, vai servir | Alergia: penicilina</v>
      </c>
      <c r="J223" s="58" t="str">
        <f>IFERROR(VLOOKUP(A223,'Cadastro Geral Campistas'!$A:$R,4,0),"")</f>
        <v>F</v>
      </c>
    </row>
    <row r="224" spans="1:10" ht="18" customHeight="1" x14ac:dyDescent="0.55000000000000004">
      <c r="A224" s="55">
        <v>119</v>
      </c>
      <c r="B224" s="3" t="str">
        <f>IFERROR(VLOOKUP(A224,'Cadastro Geral Campistas'!$A:$R,2,0),"")</f>
        <v>Rafaela Freitas</v>
      </c>
      <c r="C224" s="2">
        <f>IFERROR(VLOOKUP(A224,'Cadastro Geral Campistas'!$A:$R,5,0),"")</f>
        <v>65</v>
      </c>
      <c r="D224" s="2">
        <f>IFERROR(VLOOKUP(A224,'Cadastro Geral Campistas'!$A:$R,6,0),"")</f>
        <v>1.63</v>
      </c>
      <c r="E224" s="2">
        <f>IFERROR(VLOOKUP(A224,'Cadastro Geral Campistas'!$A:$R,7,0),"")</f>
        <v>24</v>
      </c>
      <c r="F224" s="3" t="str">
        <f>IFERROR(VLOOKUP(A224,'Cadastro Geral Campistas'!$A:$R,9,0),"")</f>
        <v>Vianopolis</v>
      </c>
      <c r="G224" s="2" t="str">
        <f>IFERROR(VLOOKUP(A224,'Cadastro Geral Campistas'!$A:$R,3,0),"")</f>
        <v>P</v>
      </c>
      <c r="H224" s="3" t="str">
        <f>IFERROR(VLOOKUP(A224,'Cadastro Geral Campistas'!$A:$R,8,0),"")</f>
        <v>+55 (64) 99958-1360</v>
      </c>
      <c r="I224" s="103" t="str">
        <f>IF(AND(IFERROR(VLOOKUP(A224,'Cadastro Geral Campistas'!$A:$R,18,0),0)&gt;0,COUNTIF($A$219:$A$234,IFERROR(VLOOKUP(A224,'Cadastro Geral Campistas'!$A:$R,18,0),0))&gt;0),"⚠️ CONFLITO! Cônjuge na mesma tribo: "&amp;IFERROR(VLOOKUP(IFERROR(VLOOKUP(A224,'Cadastro Geral Campistas'!$A:$R,18,0),0),'Cadastro Geral Campistas'!$A:$R,2,""),""),TRIM(IF(AND(IFERROR(VLOOKUP(A224,'Cadastro Geral Campistas'!$A:$R,10,0),"")&lt;&gt;"",LOWER(TRIM(IFERROR(VLOOKUP(A224,'Cadastro Geral Campistas'!$A:$R,10,0),"")))&lt;&gt;"não",LOWER(TRIM(IFERROR(VLOOKUP(A224,'Cadastro Geral Campistas'!$A:$R,10,0),"")))&lt;&gt;"nao",LOWER(TRIM(IFERROR(VLOOKUP(A224,'Cadastro Geral Campistas'!$A:$R,10,0),"")))&lt;&gt;"0"),IFERROR(VLOOKUP(A224,'Cadastro Geral Campistas'!$A:$R,10,0),"")&amp;IF(AND(IFERROR(VLOOKUP(A224,'Cadastro Geral Campistas'!$A:$R,15,0),"")&lt;&gt;"",LOWER(TRIM(IFERROR(VLOOKUP(A224,'Cadastro Geral Campistas'!$A:$R,15,0),"")))&lt;&gt;"não",LOWER(TRIM(IFERROR(VLOOKUP(A224,'Cadastro Geral Campistas'!$A:$R,15,0),"")))&lt;&gt;"nao",LOWER(TRIM(IFERROR(VLOOKUP(A224,'Cadastro Geral Campistas'!$A:$R,15,0),"")))&lt;&gt;"0")," | Alergia: "&amp;IFERROR(VLOOKUP(A224,'Cadastro Geral Campistas'!$A:$R,15,0),""),""),IF(AND(IFERROR(VLOOKUP(A224,'Cadastro Geral Campistas'!$A:$R,15,0),"")&lt;&gt;"",LOWER(TRIM(IFERROR(VLOOKUP(A224,'Cadastro Geral Campistas'!$A:$R,15,0),"")))&lt;&gt;"não",LOWER(TRIM(IFERROR(VLOOKUP(A224,'Cadastro Geral Campistas'!$A:$R,15,0),"")))&lt;&gt;"nao",LOWER(TRIM(IFERROR(VLOOKUP(A224,'Cadastro Geral Campistas'!$A:$R,15,0),"")))&lt;&gt;"0"),"Alergia: "&amp;IFERROR(VLOOKUP(A224,'Cadastro Geral Campistas'!$A:$R,15,0),""),""))))</f>
        <v>Namorado (Marcos Vinícius) | Alergia: Amoxicicilina</v>
      </c>
      <c r="J224" s="56" t="str">
        <f>IFERROR(VLOOKUP(A224,'Cadastro Geral Campistas'!$A:$R,4,0),"")</f>
        <v>F</v>
      </c>
    </row>
    <row r="225" spans="1:10" ht="18" customHeight="1" x14ac:dyDescent="0.55000000000000004">
      <c r="A225" s="57">
        <v>136</v>
      </c>
      <c r="B225" s="7" t="str">
        <f>IFERROR(VLOOKUP(A225,'Cadastro Geral Campistas'!$A:$R,2,0),"")</f>
        <v>Vilma Júlia Estevão</v>
      </c>
      <c r="C225" s="6">
        <f>IFERROR(VLOOKUP(A225,'Cadastro Geral Campistas'!$A:$R,5,0),"")</f>
        <v>70</v>
      </c>
      <c r="D225" s="6">
        <f>IFERROR(VLOOKUP(A225,'Cadastro Geral Campistas'!$A:$R,6,0),"")</f>
        <v>1.6</v>
      </c>
      <c r="E225" s="6">
        <f>IFERROR(VLOOKUP(A225,'Cadastro Geral Campistas'!$A:$R,7,0),"")</f>
        <v>71</v>
      </c>
      <c r="F225" s="7" t="str">
        <f>IFERROR(VLOOKUP(A225,'Cadastro Geral Campistas'!$A:$R,9,0),"")</f>
        <v>Goiânia</v>
      </c>
      <c r="G225" s="6" t="str">
        <f>IFERROR(VLOOKUP(A225,'Cadastro Geral Campistas'!$A:$R,3,0),"")</f>
        <v>G</v>
      </c>
      <c r="H225" s="7" t="str">
        <f>IFERROR(VLOOKUP(A225,'Cadastro Geral Campistas'!$A:$R,8,0),"")</f>
        <v>+55 (62) 99249-1342</v>
      </c>
      <c r="I225" s="101" t="str">
        <f>IF(AND(IFERROR(VLOOKUP(A225,'Cadastro Geral Campistas'!$A:$R,18,0),0)&gt;0,COUNTIF($A$219:$A$234,IFERROR(VLOOKUP(A225,'Cadastro Geral Campistas'!$A:$R,18,0),0))&gt;0),"⚠️ CONFLITO! Cônjuge na mesma tribo: "&amp;IFERROR(VLOOKUP(IFERROR(VLOOKUP(A225,'Cadastro Geral Campistas'!$A:$R,18,0),0),'Cadastro Geral Campistas'!$A:$R,2,""),""),TRIM(IF(AND(IFERROR(VLOOKUP(A225,'Cadastro Geral Campistas'!$A:$R,10,0),"")&lt;&gt;"",LOWER(TRIM(IFERROR(VLOOKUP(A225,'Cadastro Geral Campistas'!$A:$R,10,0),"")))&lt;&gt;"não",LOWER(TRIM(IFERROR(VLOOKUP(A225,'Cadastro Geral Campistas'!$A:$R,10,0),"")))&lt;&gt;"nao",LOWER(TRIM(IFERROR(VLOOKUP(A225,'Cadastro Geral Campistas'!$A:$R,10,0),"")))&lt;&gt;"0"),IFERROR(VLOOKUP(A225,'Cadastro Geral Campistas'!$A:$R,10,0),"")&amp;IF(AND(IFERROR(VLOOKUP(A225,'Cadastro Geral Campistas'!$A:$R,15,0),"")&lt;&gt;"",LOWER(TRIM(IFERROR(VLOOKUP(A225,'Cadastro Geral Campistas'!$A:$R,15,0),"")))&lt;&gt;"não",LOWER(TRIM(IFERROR(VLOOKUP(A225,'Cadastro Geral Campistas'!$A:$R,15,0),"")))&lt;&gt;"nao",LOWER(TRIM(IFERROR(VLOOKUP(A225,'Cadastro Geral Campistas'!$A:$R,15,0),"")))&lt;&gt;"0")," | Alergia: "&amp;IFERROR(VLOOKUP(A225,'Cadastro Geral Campistas'!$A:$R,15,0),""),""),IF(AND(IFERROR(VLOOKUP(A225,'Cadastro Geral Campistas'!$A:$R,15,0),"")&lt;&gt;"",LOWER(TRIM(IFERROR(VLOOKUP(A225,'Cadastro Geral Campistas'!$A:$R,15,0),"")))&lt;&gt;"não",LOWER(TRIM(IFERROR(VLOOKUP(A225,'Cadastro Geral Campistas'!$A:$R,15,0),"")))&lt;&gt;"nao",LOWER(TRIM(IFERROR(VLOOKUP(A225,'Cadastro Geral Campistas'!$A:$R,15,0),"")))&lt;&gt;"0"),"Alergia: "&amp;IFERROR(VLOOKUP(A225,'Cadastro Geral Campistas'!$A:$R,15,0),""),""))))</f>
        <v/>
      </c>
      <c r="J225" s="58" t="str">
        <f>IFERROR(VLOOKUP(A225,'Cadastro Geral Campistas'!$A:$R,4,0),"")</f>
        <v>F</v>
      </c>
    </row>
    <row r="226" spans="1:10" ht="18" customHeight="1" x14ac:dyDescent="0.55000000000000004">
      <c r="A226" s="55">
        <v>137</v>
      </c>
      <c r="B226" s="3" t="str">
        <f>IFERROR(VLOOKUP(A226,'Cadastro Geral Campistas'!$A:$R,2,0),"")</f>
        <v>Vitória Alves Sardinha</v>
      </c>
      <c r="C226" s="2">
        <f>IFERROR(VLOOKUP(A226,'Cadastro Geral Campistas'!$A:$R,5,0),"")</f>
        <v>95</v>
      </c>
      <c r="D226" s="2">
        <f>IFERROR(VLOOKUP(A226,'Cadastro Geral Campistas'!$A:$R,6,0),"")</f>
        <v>1.65</v>
      </c>
      <c r="E226" s="2">
        <f>IFERROR(VLOOKUP(A226,'Cadastro Geral Campistas'!$A:$R,7,0),"")</f>
        <v>30</v>
      </c>
      <c r="F226" s="3" t="str">
        <f>IFERROR(VLOOKUP(A226,'Cadastro Geral Campistas'!$A:$R,9,0),"")</f>
        <v>Goiania</v>
      </c>
      <c r="G226" s="2" t="str">
        <f>IFERROR(VLOOKUP(A226,'Cadastro Geral Campistas'!$A:$R,3,0),"")</f>
        <v>GG</v>
      </c>
      <c r="H226" s="3" t="str">
        <f>IFERROR(VLOOKUP(A226,'Cadastro Geral Campistas'!$A:$R,8,0),"")</f>
        <v>+55 (62) 98148-3874</v>
      </c>
      <c r="I226" s="103" t="str">
        <f>IF(AND(IFERROR(VLOOKUP(A226,'Cadastro Geral Campistas'!$A:$R,18,0),0)&gt;0,COUNTIF($A$219:$A$234,IFERROR(VLOOKUP(A226,'Cadastro Geral Campistas'!$A:$R,18,0),0))&gt;0),"⚠️ CONFLITO! Cônjuge na mesma tribo: "&amp;IFERROR(VLOOKUP(IFERROR(VLOOKUP(A226,'Cadastro Geral Campistas'!$A:$R,18,0),0),'Cadastro Geral Campistas'!$A:$R,2,""),""),TRIM(IF(AND(IFERROR(VLOOKUP(A226,'Cadastro Geral Campistas'!$A:$R,10,0),"")&lt;&gt;"",LOWER(TRIM(IFERROR(VLOOKUP(A226,'Cadastro Geral Campistas'!$A:$R,10,0),"")))&lt;&gt;"não",LOWER(TRIM(IFERROR(VLOOKUP(A226,'Cadastro Geral Campistas'!$A:$R,10,0),"")))&lt;&gt;"nao",LOWER(TRIM(IFERROR(VLOOKUP(A226,'Cadastro Geral Campistas'!$A:$R,10,0),"")))&lt;&gt;"0"),IFERROR(VLOOKUP(A226,'Cadastro Geral Campistas'!$A:$R,10,0),"")&amp;IF(AND(IFERROR(VLOOKUP(A226,'Cadastro Geral Campistas'!$A:$R,15,0),"")&lt;&gt;"",LOWER(TRIM(IFERROR(VLOOKUP(A226,'Cadastro Geral Campistas'!$A:$R,15,0),"")))&lt;&gt;"não",LOWER(TRIM(IFERROR(VLOOKUP(A226,'Cadastro Geral Campistas'!$A:$R,15,0),"")))&lt;&gt;"nao",LOWER(TRIM(IFERROR(VLOOKUP(A226,'Cadastro Geral Campistas'!$A:$R,15,0),"")))&lt;&gt;"0")," | Alergia: "&amp;IFERROR(VLOOKUP(A226,'Cadastro Geral Campistas'!$A:$R,15,0),""),""),IF(AND(IFERROR(VLOOKUP(A226,'Cadastro Geral Campistas'!$A:$R,15,0),"")&lt;&gt;"",LOWER(TRIM(IFERROR(VLOOKUP(A226,'Cadastro Geral Campistas'!$A:$R,15,0),"")))&lt;&gt;"não",LOWER(TRIM(IFERROR(VLOOKUP(A226,'Cadastro Geral Campistas'!$A:$R,15,0),"")))&lt;&gt;"nao",LOWER(TRIM(IFERROR(VLOOKUP(A226,'Cadastro Geral Campistas'!$A:$R,15,0),"")))&lt;&gt;"0"),"Alergia: "&amp;IFERROR(VLOOKUP(A226,'Cadastro Geral Campistas'!$A:$R,15,0),""),""))))</f>
        <v>Marcos Aurélio Barreto Sávio - esposo</v>
      </c>
      <c r="J226" s="56" t="str">
        <f>IFERROR(VLOOKUP(A226,'Cadastro Geral Campistas'!$A:$R,4,0),"")</f>
        <v>F</v>
      </c>
    </row>
    <row r="227" spans="1:10" ht="18" customHeight="1" x14ac:dyDescent="0.55000000000000004">
      <c r="A227" s="57">
        <v>25</v>
      </c>
      <c r="B227" s="7" t="str">
        <f>IFERROR(VLOOKUP(A227,'Cadastro Geral Campistas'!$A:$R,2,0),"")</f>
        <v>Charles Juliano Visconti</v>
      </c>
      <c r="C227" s="6">
        <f>IFERROR(VLOOKUP(A227,'Cadastro Geral Campistas'!$A:$R,5,0),"")</f>
        <v>86</v>
      </c>
      <c r="D227" s="6">
        <f>IFERROR(VLOOKUP(A227,'Cadastro Geral Campistas'!$A:$R,6,0),"")</f>
        <v>1.78</v>
      </c>
      <c r="E227" s="6">
        <f>IFERROR(VLOOKUP(A227,'Cadastro Geral Campistas'!$A:$R,7,0),"")</f>
        <v>49</v>
      </c>
      <c r="F227" s="7" t="str">
        <f>IFERROR(VLOOKUP(A227,'Cadastro Geral Campistas'!$A:$R,9,0),"")</f>
        <v>Canarana</v>
      </c>
      <c r="G227" s="6" t="str">
        <f>IFERROR(VLOOKUP(A227,'Cadastro Geral Campistas'!$A:$R,3,0),"")</f>
        <v>GG</v>
      </c>
      <c r="H227" s="7" t="str">
        <f>IFERROR(VLOOKUP(A227,'Cadastro Geral Campistas'!$A:$R,8,0),"")</f>
        <v>+55 (66) 99911-3161</v>
      </c>
      <c r="I227" s="101" t="str">
        <f>IF(AND(IFERROR(VLOOKUP(A227,'Cadastro Geral Campistas'!$A:$R,18,0),0)&gt;0,COUNTIF($A$219:$A$234,IFERROR(VLOOKUP(A227,'Cadastro Geral Campistas'!$A:$R,18,0),0))&gt;0),"⚠️ CONFLITO! Cônjuge na mesma tribo: "&amp;IFERROR(VLOOKUP(IFERROR(VLOOKUP(A227,'Cadastro Geral Campistas'!$A:$R,18,0),0),'Cadastro Geral Campistas'!$A:$R,2,""),""),TRIM(IF(AND(IFERROR(VLOOKUP(A227,'Cadastro Geral Campistas'!$A:$R,10,0),"")&lt;&gt;"",LOWER(TRIM(IFERROR(VLOOKUP(A227,'Cadastro Geral Campistas'!$A:$R,10,0),"")))&lt;&gt;"não",LOWER(TRIM(IFERROR(VLOOKUP(A227,'Cadastro Geral Campistas'!$A:$R,10,0),"")))&lt;&gt;"nao",LOWER(TRIM(IFERROR(VLOOKUP(A227,'Cadastro Geral Campistas'!$A:$R,10,0),"")))&lt;&gt;"0"),IFERROR(VLOOKUP(A227,'Cadastro Geral Campistas'!$A:$R,10,0),"")&amp;IF(AND(IFERROR(VLOOKUP(A227,'Cadastro Geral Campistas'!$A:$R,15,0),"")&lt;&gt;"",LOWER(TRIM(IFERROR(VLOOKUP(A227,'Cadastro Geral Campistas'!$A:$R,15,0),"")))&lt;&gt;"não",LOWER(TRIM(IFERROR(VLOOKUP(A227,'Cadastro Geral Campistas'!$A:$R,15,0),"")))&lt;&gt;"nao",LOWER(TRIM(IFERROR(VLOOKUP(A227,'Cadastro Geral Campistas'!$A:$R,15,0),"")))&lt;&gt;"0")," | Alergia: "&amp;IFERROR(VLOOKUP(A227,'Cadastro Geral Campistas'!$A:$R,15,0),""),""),IF(AND(IFERROR(VLOOKUP(A227,'Cadastro Geral Campistas'!$A:$R,15,0),"")&lt;&gt;"",LOWER(TRIM(IFERROR(VLOOKUP(A227,'Cadastro Geral Campistas'!$A:$R,15,0),"")))&lt;&gt;"não",LOWER(TRIM(IFERROR(VLOOKUP(A227,'Cadastro Geral Campistas'!$A:$R,15,0),"")))&lt;&gt;"nao",LOWER(TRIM(IFERROR(VLOOKUP(A227,'Cadastro Geral Campistas'!$A:$R,15,0),"")))&lt;&gt;"0"),"Alergia: "&amp;IFERROR(VLOOKUP(A227,'Cadastro Geral Campistas'!$A:$R,15,0),""),""))))</f>
        <v/>
      </c>
      <c r="J227" s="58" t="str">
        <f>IFERROR(VLOOKUP(A227,'Cadastro Geral Campistas'!$A:$R,4,0),"")</f>
        <v>M</v>
      </c>
    </row>
    <row r="228" spans="1:10" ht="18" customHeight="1" x14ac:dyDescent="0.55000000000000004">
      <c r="A228" s="88">
        <v>81</v>
      </c>
      <c r="B228" s="37" t="str">
        <f>IFERROR(VLOOKUP(A228,'Cadastro Geral Campistas'!$A:$R,2,0),"")</f>
        <v>Lucas Alves Rodrigues</v>
      </c>
      <c r="C228" s="38">
        <f>IFERROR(VLOOKUP(A228,'Cadastro Geral Campistas'!$A:$R,5,0),"")</f>
        <v>76</v>
      </c>
      <c r="D228" s="38">
        <f>IFERROR(VLOOKUP(A228,'Cadastro Geral Campistas'!$A:$R,6,0),"")</f>
        <v>1.64</v>
      </c>
      <c r="E228" s="38">
        <f>IFERROR(VLOOKUP(A228,'Cadastro Geral Campistas'!$A:$R,7,0),"")</f>
        <v>33</v>
      </c>
      <c r="F228" s="37" t="str">
        <f>IFERROR(VLOOKUP(A228,'Cadastro Geral Campistas'!$A:$R,9,0),"")</f>
        <v>Senador Canedo</v>
      </c>
      <c r="G228" s="38" t="str">
        <f>IFERROR(VLOOKUP(A228,'Cadastro Geral Campistas'!$A:$R,3,0),"")</f>
        <v>M</v>
      </c>
      <c r="H228" s="37" t="str">
        <f>IFERROR(VLOOKUP(A228,'Cadastro Geral Campistas'!$A:$R,8,0),"")</f>
        <v>+55 (62) 99303-0310</v>
      </c>
      <c r="I228" s="111" t="str">
        <f>IF(AND(IFERROR(VLOOKUP(A228,'Cadastro Geral Campistas'!$A:$R,18,0),0)&gt;0,COUNTIF($A$219:$A$234,IFERROR(VLOOKUP(A228,'Cadastro Geral Campistas'!$A:$R,18,0),0))&gt;0),"⚠️ CONFLITO! Cônjuge na mesma tribo: "&amp;IFERROR(VLOOKUP(IFERROR(VLOOKUP(A228,'Cadastro Geral Campistas'!$A:$R,18,0),0),'Cadastro Geral Campistas'!$A:$R,2,""),""),TRIM(IF(AND(IFERROR(VLOOKUP(A228,'Cadastro Geral Campistas'!$A:$R,10,0),"")&lt;&gt;"",LOWER(TRIM(IFERROR(VLOOKUP(A228,'Cadastro Geral Campistas'!$A:$R,10,0),"")))&lt;&gt;"não",LOWER(TRIM(IFERROR(VLOOKUP(A228,'Cadastro Geral Campistas'!$A:$R,10,0),"")))&lt;&gt;"nao",LOWER(TRIM(IFERROR(VLOOKUP(A228,'Cadastro Geral Campistas'!$A:$R,10,0),"")))&lt;&gt;"0"),IFERROR(VLOOKUP(A228,'Cadastro Geral Campistas'!$A:$R,10,0),"")&amp;IF(AND(IFERROR(VLOOKUP(A228,'Cadastro Geral Campistas'!$A:$R,15,0),"")&lt;&gt;"",LOWER(TRIM(IFERROR(VLOOKUP(A228,'Cadastro Geral Campistas'!$A:$R,15,0),"")))&lt;&gt;"não",LOWER(TRIM(IFERROR(VLOOKUP(A228,'Cadastro Geral Campistas'!$A:$R,15,0),"")))&lt;&gt;"nao",LOWER(TRIM(IFERROR(VLOOKUP(A228,'Cadastro Geral Campistas'!$A:$R,15,0),"")))&lt;&gt;"0")," | Alergia: "&amp;IFERROR(VLOOKUP(A228,'Cadastro Geral Campistas'!$A:$R,15,0),""),""),IF(AND(IFERROR(VLOOKUP(A228,'Cadastro Geral Campistas'!$A:$R,15,0),"")&lt;&gt;"",LOWER(TRIM(IFERROR(VLOOKUP(A228,'Cadastro Geral Campistas'!$A:$R,15,0),"")))&lt;&gt;"não",LOWER(TRIM(IFERROR(VLOOKUP(A228,'Cadastro Geral Campistas'!$A:$R,15,0),"")))&lt;&gt;"nao",LOWER(TRIM(IFERROR(VLOOKUP(A228,'Cadastro Geral Campistas'!$A:$R,15,0),"")))&lt;&gt;"0"),"Alergia: "&amp;IFERROR(VLOOKUP(A228,'Cadastro Geral Campistas'!$A:$R,15,0),""),""))))</f>
        <v>sim. Larisse da Conceição Avis</v>
      </c>
      <c r="J228" s="89" t="str">
        <f>IFERROR(VLOOKUP(A228,'Cadastro Geral Campistas'!$A:$R,4,0),"")</f>
        <v>M</v>
      </c>
    </row>
    <row r="229" spans="1:10" ht="18" customHeight="1" x14ac:dyDescent="0.55000000000000004">
      <c r="A229" s="57">
        <v>87</v>
      </c>
      <c r="B229" s="7" t="str">
        <f>IFERROR(VLOOKUP(A229,'Cadastro Geral Campistas'!$A:$R,2,0),"")</f>
        <v>Luiz Crispim</v>
      </c>
      <c r="C229" s="6">
        <f>IFERROR(VLOOKUP(A229,'Cadastro Geral Campistas'!$A:$R,5,0),"")</f>
        <v>70</v>
      </c>
      <c r="D229" s="6">
        <f>IFERROR(VLOOKUP(A229,'Cadastro Geral Campistas'!$A:$R,6,0),"")</f>
        <v>1.74</v>
      </c>
      <c r="E229" s="6">
        <f>IFERROR(VLOOKUP(A229,'Cadastro Geral Campistas'!$A:$R,7,0),"")</f>
        <v>52</v>
      </c>
      <c r="F229" s="7" t="str">
        <f>IFERROR(VLOOKUP(A229,'Cadastro Geral Campistas'!$A:$R,9,0),"")</f>
        <v>Goiania</v>
      </c>
      <c r="G229" s="6" t="str">
        <f>IFERROR(VLOOKUP(A229,'Cadastro Geral Campistas'!$A:$R,3,0),"")</f>
        <v>M</v>
      </c>
      <c r="H229" s="7" t="str">
        <f>IFERROR(VLOOKUP(A229,'Cadastro Geral Campistas'!$A:$R,8,0),"")</f>
        <v>+55 (11) 95937-0124</v>
      </c>
      <c r="I229" s="101" t="str">
        <f>IF(AND(IFERROR(VLOOKUP(A229,'Cadastro Geral Campistas'!$A:$R,18,0),0)&gt;0,COUNTIF($A$219:$A$234,IFERROR(VLOOKUP(A229,'Cadastro Geral Campistas'!$A:$R,18,0),0))&gt;0),"⚠️ CONFLITO! Cônjuge na mesma tribo: "&amp;IFERROR(VLOOKUP(IFERROR(VLOOKUP(A229,'Cadastro Geral Campistas'!$A:$R,18,0),0),'Cadastro Geral Campistas'!$A:$R,2,""),""),TRIM(IF(AND(IFERROR(VLOOKUP(A229,'Cadastro Geral Campistas'!$A:$R,10,0),"")&lt;&gt;"",LOWER(TRIM(IFERROR(VLOOKUP(A229,'Cadastro Geral Campistas'!$A:$R,10,0),"")))&lt;&gt;"não",LOWER(TRIM(IFERROR(VLOOKUP(A229,'Cadastro Geral Campistas'!$A:$R,10,0),"")))&lt;&gt;"nao",LOWER(TRIM(IFERROR(VLOOKUP(A229,'Cadastro Geral Campistas'!$A:$R,10,0),"")))&lt;&gt;"0"),IFERROR(VLOOKUP(A229,'Cadastro Geral Campistas'!$A:$R,10,0),"")&amp;IF(AND(IFERROR(VLOOKUP(A229,'Cadastro Geral Campistas'!$A:$R,15,0),"")&lt;&gt;"",LOWER(TRIM(IFERROR(VLOOKUP(A229,'Cadastro Geral Campistas'!$A:$R,15,0),"")))&lt;&gt;"não",LOWER(TRIM(IFERROR(VLOOKUP(A229,'Cadastro Geral Campistas'!$A:$R,15,0),"")))&lt;&gt;"nao",LOWER(TRIM(IFERROR(VLOOKUP(A229,'Cadastro Geral Campistas'!$A:$R,15,0),"")))&lt;&gt;"0")," | Alergia: "&amp;IFERROR(VLOOKUP(A229,'Cadastro Geral Campistas'!$A:$R,15,0),""),""),IF(AND(IFERROR(VLOOKUP(A229,'Cadastro Geral Campistas'!$A:$R,15,0),"")&lt;&gt;"",LOWER(TRIM(IFERROR(VLOOKUP(A229,'Cadastro Geral Campistas'!$A:$R,15,0),"")))&lt;&gt;"não",LOWER(TRIM(IFERROR(VLOOKUP(A229,'Cadastro Geral Campistas'!$A:$R,15,0),"")))&lt;&gt;"nao",LOWER(TRIM(IFERROR(VLOOKUP(A229,'Cadastro Geral Campistas'!$A:$R,15,0),"")))&lt;&gt;"0"),"Alergia: "&amp;IFERROR(VLOOKUP(A229,'Cadastro Geral Campistas'!$A:$R,15,0),""),""))))</f>
        <v/>
      </c>
      <c r="J229" s="58" t="str">
        <f>IFERROR(VLOOKUP(A229,'Cadastro Geral Campistas'!$A:$R,4,0),"")</f>
        <v>M</v>
      </c>
    </row>
    <row r="230" spans="1:10" ht="18" customHeight="1" x14ac:dyDescent="0.55000000000000004">
      <c r="A230" s="88">
        <v>103</v>
      </c>
      <c r="B230" s="37" t="str">
        <f>IFERROR(VLOOKUP(A230,'Cadastro Geral Campistas'!$A:$R,2,0),"")</f>
        <v>MICHAEL SILVA DE ARAUJO</v>
      </c>
      <c r="C230" s="38">
        <f>IFERROR(VLOOKUP(A230,'Cadastro Geral Campistas'!$A:$R,5,0),"")</f>
        <v>55</v>
      </c>
      <c r="D230" s="38">
        <f>IFERROR(VLOOKUP(A230,'Cadastro Geral Campistas'!$A:$R,6,0),"")</f>
        <v>1.68</v>
      </c>
      <c r="E230" s="38">
        <f>IFERROR(VLOOKUP(A230,'Cadastro Geral Campistas'!$A:$R,7,0),"")</f>
        <v>44</v>
      </c>
      <c r="F230" s="37" t="str">
        <f>IFERROR(VLOOKUP(A230,'Cadastro Geral Campistas'!$A:$R,9,0),"")</f>
        <v>GOIANIA</v>
      </c>
      <c r="G230" s="38" t="str">
        <f>IFERROR(VLOOKUP(A230,'Cadastro Geral Campistas'!$A:$R,3,0),"")</f>
        <v>M</v>
      </c>
      <c r="H230" s="37" t="str">
        <f>IFERROR(VLOOKUP(A230,'Cadastro Geral Campistas'!$A:$R,8,0),"")</f>
        <v>+55 (62) 99295-9042</v>
      </c>
      <c r="I230" s="111" t="str">
        <f>IF(AND(IFERROR(VLOOKUP(A230,'Cadastro Geral Campistas'!$A:$R,18,0),0)&gt;0,COUNTIF($A$219:$A$234,IFERROR(VLOOKUP(A230,'Cadastro Geral Campistas'!$A:$R,18,0),0))&gt;0),"⚠️ CONFLITO! Cônjuge na mesma tribo: "&amp;IFERROR(VLOOKUP(IFERROR(VLOOKUP(A230,'Cadastro Geral Campistas'!$A:$R,18,0),0),'Cadastro Geral Campistas'!$A:$R,2,""),""),TRIM(IF(AND(IFERROR(VLOOKUP(A230,'Cadastro Geral Campistas'!$A:$R,10,0),"")&lt;&gt;"",LOWER(TRIM(IFERROR(VLOOKUP(A230,'Cadastro Geral Campistas'!$A:$R,10,0),"")))&lt;&gt;"não",LOWER(TRIM(IFERROR(VLOOKUP(A230,'Cadastro Geral Campistas'!$A:$R,10,0),"")))&lt;&gt;"nao",LOWER(TRIM(IFERROR(VLOOKUP(A230,'Cadastro Geral Campistas'!$A:$R,10,0),"")))&lt;&gt;"0"),IFERROR(VLOOKUP(A230,'Cadastro Geral Campistas'!$A:$R,10,0),"")&amp;IF(AND(IFERROR(VLOOKUP(A230,'Cadastro Geral Campistas'!$A:$R,15,0),"")&lt;&gt;"",LOWER(TRIM(IFERROR(VLOOKUP(A230,'Cadastro Geral Campistas'!$A:$R,15,0),"")))&lt;&gt;"não",LOWER(TRIM(IFERROR(VLOOKUP(A230,'Cadastro Geral Campistas'!$A:$R,15,0),"")))&lt;&gt;"nao",LOWER(TRIM(IFERROR(VLOOKUP(A230,'Cadastro Geral Campistas'!$A:$R,15,0),"")))&lt;&gt;"0")," | Alergia: "&amp;IFERROR(VLOOKUP(A230,'Cadastro Geral Campistas'!$A:$R,15,0),""),""),IF(AND(IFERROR(VLOOKUP(A230,'Cadastro Geral Campistas'!$A:$R,15,0),"")&lt;&gt;"",LOWER(TRIM(IFERROR(VLOOKUP(A230,'Cadastro Geral Campistas'!$A:$R,15,0),"")))&lt;&gt;"não",LOWER(TRIM(IFERROR(VLOOKUP(A230,'Cadastro Geral Campistas'!$A:$R,15,0),"")))&lt;&gt;"nao",LOWER(TRIM(IFERROR(VLOOKUP(A230,'Cadastro Geral Campistas'!$A:$R,15,0),"")))&lt;&gt;"0"),"Alergia: "&amp;IFERROR(VLOOKUP(A230,'Cadastro Geral Campistas'!$A:$R,15,0),""),""))))</f>
        <v>SIM, WENDEL, REGIANE, IURI, PENELOPE, KAIQUE</v>
      </c>
      <c r="J230" s="89" t="str">
        <f>IFERROR(VLOOKUP(A230,'Cadastro Geral Campistas'!$A:$R,4,0),"")</f>
        <v>M</v>
      </c>
    </row>
    <row r="231" spans="1:10" ht="18" customHeight="1" x14ac:dyDescent="0.55000000000000004">
      <c r="A231" s="57">
        <v>107</v>
      </c>
      <c r="B231" s="7" t="str">
        <f>IFERROR(VLOOKUP(A231,'Cadastro Geral Campistas'!$A:$R,2,0),"")</f>
        <v>Nilson Gomes da Silva</v>
      </c>
      <c r="C231" s="6">
        <f>IFERROR(VLOOKUP(A231,'Cadastro Geral Campistas'!$A:$R,5,0),"")</f>
        <v>0</v>
      </c>
      <c r="D231" s="6">
        <f>IFERROR(VLOOKUP(A231,'Cadastro Geral Campistas'!$A:$R,6,0),"")</f>
        <v>0</v>
      </c>
      <c r="E231" s="6">
        <f>IFERROR(VLOOKUP(A231,'Cadastro Geral Campistas'!$A:$R,7,0),"")</f>
        <v>57</v>
      </c>
      <c r="F231" s="7" t="str">
        <f>IFERROR(VLOOKUP(A231,'Cadastro Geral Campistas'!$A:$R,9,0),"")</f>
        <v>Vianopolis</v>
      </c>
      <c r="G231" s="6" t="str">
        <f>IFERROR(VLOOKUP(A231,'Cadastro Geral Campistas'!$A:$R,3,0),"")</f>
        <v>G</v>
      </c>
      <c r="H231" s="7" t="str">
        <f>IFERROR(VLOOKUP(A231,'Cadastro Geral Campistas'!$A:$R,8,0),"")</f>
        <v>+55 (62) 99622-7114</v>
      </c>
      <c r="I231" s="101" t="str">
        <f>IF(AND(IFERROR(VLOOKUP(A231,'Cadastro Geral Campistas'!$A:$R,18,0),0)&gt;0,COUNTIF($A$219:$A$234,IFERROR(VLOOKUP(A231,'Cadastro Geral Campistas'!$A:$R,18,0),0))&gt;0),"⚠️ CONFLITO! Cônjuge na mesma tribo: "&amp;IFERROR(VLOOKUP(IFERROR(VLOOKUP(A231,'Cadastro Geral Campistas'!$A:$R,18,0),0),'Cadastro Geral Campistas'!$A:$R,2,""),""),TRIM(IF(AND(IFERROR(VLOOKUP(A231,'Cadastro Geral Campistas'!$A:$R,10,0),"")&lt;&gt;"",LOWER(TRIM(IFERROR(VLOOKUP(A231,'Cadastro Geral Campistas'!$A:$R,10,0),"")))&lt;&gt;"não",LOWER(TRIM(IFERROR(VLOOKUP(A231,'Cadastro Geral Campistas'!$A:$R,10,0),"")))&lt;&gt;"nao",LOWER(TRIM(IFERROR(VLOOKUP(A231,'Cadastro Geral Campistas'!$A:$R,10,0),"")))&lt;&gt;"0"),IFERROR(VLOOKUP(A231,'Cadastro Geral Campistas'!$A:$R,10,0),"")&amp;IF(AND(IFERROR(VLOOKUP(A231,'Cadastro Geral Campistas'!$A:$R,15,0),"")&lt;&gt;"",LOWER(TRIM(IFERROR(VLOOKUP(A231,'Cadastro Geral Campistas'!$A:$R,15,0),"")))&lt;&gt;"não",LOWER(TRIM(IFERROR(VLOOKUP(A231,'Cadastro Geral Campistas'!$A:$R,15,0),"")))&lt;&gt;"nao",LOWER(TRIM(IFERROR(VLOOKUP(A231,'Cadastro Geral Campistas'!$A:$R,15,0),"")))&lt;&gt;"0")," | Alergia: "&amp;IFERROR(VLOOKUP(A231,'Cadastro Geral Campistas'!$A:$R,15,0),""),""),IF(AND(IFERROR(VLOOKUP(A231,'Cadastro Geral Campistas'!$A:$R,15,0),"")&lt;&gt;"",LOWER(TRIM(IFERROR(VLOOKUP(A231,'Cadastro Geral Campistas'!$A:$R,15,0),"")))&lt;&gt;"não",LOWER(TRIM(IFERROR(VLOOKUP(A231,'Cadastro Geral Campistas'!$A:$R,15,0),"")))&lt;&gt;"nao",LOWER(TRIM(IFERROR(VLOOKUP(A231,'Cadastro Geral Campistas'!$A:$R,15,0),"")))&lt;&gt;"0"),"Alergia: "&amp;IFERROR(VLOOKUP(A231,'Cadastro Geral Campistas'!$A:$R,15,0),""),""))))</f>
        <v/>
      </c>
      <c r="J231" s="58" t="str">
        <f>IFERROR(VLOOKUP(A231,'Cadastro Geral Campistas'!$A:$R,4,0),"")</f>
        <v>M</v>
      </c>
    </row>
    <row r="232" spans="1:10" ht="18" customHeight="1" x14ac:dyDescent="0.55000000000000004">
      <c r="A232" s="88">
        <v>108</v>
      </c>
      <c r="B232" s="37" t="str">
        <f>IFERROR(VLOOKUP(A232,'Cadastro Geral Campistas'!$A:$R,2,0),"")</f>
        <v>Nivaldo Antônio Bueno</v>
      </c>
      <c r="C232" s="38">
        <f>IFERROR(VLOOKUP(A232,'Cadastro Geral Campistas'!$A:$R,5,0),"")</f>
        <v>80</v>
      </c>
      <c r="D232" s="38">
        <f>IFERROR(VLOOKUP(A232,'Cadastro Geral Campistas'!$A:$R,6,0),"")</f>
        <v>1.7</v>
      </c>
      <c r="E232" s="38">
        <f>IFERROR(VLOOKUP(A232,'Cadastro Geral Campistas'!$A:$R,7,0),"")</f>
        <v>37</v>
      </c>
      <c r="F232" s="37" t="str">
        <f>IFERROR(VLOOKUP(A232,'Cadastro Geral Campistas'!$A:$R,9,0),"")</f>
        <v>Silvania</v>
      </c>
      <c r="G232" s="38" t="str">
        <f>IFERROR(VLOOKUP(A232,'Cadastro Geral Campistas'!$A:$R,3,0),"")</f>
        <v>M</v>
      </c>
      <c r="H232" s="37" t="str">
        <f>IFERROR(VLOOKUP(A232,'Cadastro Geral Campistas'!$A:$R,8,0),"")</f>
        <v>+55 (62) 99939-1892</v>
      </c>
      <c r="I232" s="111" t="str">
        <f>IF(AND(IFERROR(VLOOKUP(A232,'Cadastro Geral Campistas'!$A:$R,18,0),0)&gt;0,COUNTIF($A$219:$A$234,IFERROR(VLOOKUP(A232,'Cadastro Geral Campistas'!$A:$R,18,0),0))&gt;0),"⚠️ CONFLITO! Cônjuge na mesma tribo: "&amp;IFERROR(VLOOKUP(IFERROR(VLOOKUP(A232,'Cadastro Geral Campistas'!$A:$R,18,0),0),'Cadastro Geral Campistas'!$A:$R,2,""),""),TRIM(IF(AND(IFERROR(VLOOKUP(A232,'Cadastro Geral Campistas'!$A:$R,10,0),"")&lt;&gt;"",LOWER(TRIM(IFERROR(VLOOKUP(A232,'Cadastro Geral Campistas'!$A:$R,10,0),"")))&lt;&gt;"não",LOWER(TRIM(IFERROR(VLOOKUP(A232,'Cadastro Geral Campistas'!$A:$R,10,0),"")))&lt;&gt;"nao",LOWER(TRIM(IFERROR(VLOOKUP(A232,'Cadastro Geral Campistas'!$A:$R,10,0),"")))&lt;&gt;"0"),IFERROR(VLOOKUP(A232,'Cadastro Geral Campistas'!$A:$R,10,0),"")&amp;IF(AND(IFERROR(VLOOKUP(A232,'Cadastro Geral Campistas'!$A:$R,15,0),"")&lt;&gt;"",LOWER(TRIM(IFERROR(VLOOKUP(A232,'Cadastro Geral Campistas'!$A:$R,15,0),"")))&lt;&gt;"não",LOWER(TRIM(IFERROR(VLOOKUP(A232,'Cadastro Geral Campistas'!$A:$R,15,0),"")))&lt;&gt;"nao",LOWER(TRIM(IFERROR(VLOOKUP(A232,'Cadastro Geral Campistas'!$A:$R,15,0),"")))&lt;&gt;"0")," | Alergia: "&amp;IFERROR(VLOOKUP(A232,'Cadastro Geral Campistas'!$A:$R,15,0),""),""),IF(AND(IFERROR(VLOOKUP(A232,'Cadastro Geral Campistas'!$A:$R,15,0),"")&lt;&gt;"",LOWER(TRIM(IFERROR(VLOOKUP(A232,'Cadastro Geral Campistas'!$A:$R,15,0),"")))&lt;&gt;"não",LOWER(TRIM(IFERROR(VLOOKUP(A232,'Cadastro Geral Campistas'!$A:$R,15,0),"")))&lt;&gt;"nao",LOWER(TRIM(IFERROR(VLOOKUP(A232,'Cadastro Geral Campistas'!$A:$R,15,0),"")))&lt;&gt;"0"),"Alergia: "&amp;IFERROR(VLOOKUP(A232,'Cadastro Geral Campistas'!$A:$R,15,0),""),""))))</f>
        <v/>
      </c>
      <c r="J232" s="89" t="str">
        <f>IFERROR(VLOOKUP(A232,'Cadastro Geral Campistas'!$A:$R,4,0),"")</f>
        <v>M</v>
      </c>
    </row>
    <row r="233" spans="1:10" ht="18" customHeight="1" x14ac:dyDescent="0.55000000000000004">
      <c r="A233" s="57">
        <v>130</v>
      </c>
      <c r="B233" s="7" t="str">
        <f>IFERROR(VLOOKUP(A233,'Cadastro Geral Campistas'!$A:$R,2,0),"")</f>
        <v>Thiago Lopes Damasceno</v>
      </c>
      <c r="C233" s="6">
        <f>IFERROR(VLOOKUP(A233,'Cadastro Geral Campistas'!$A:$R,5,0),"")</f>
        <v>95</v>
      </c>
      <c r="D233" s="6">
        <f>IFERROR(VLOOKUP(A233,'Cadastro Geral Campistas'!$A:$R,6,0),"")</f>
        <v>1.84</v>
      </c>
      <c r="E233" s="6">
        <f>IFERROR(VLOOKUP(A233,'Cadastro Geral Campistas'!$A:$R,7,0),"")</f>
        <v>45</v>
      </c>
      <c r="F233" s="7" t="str">
        <f>IFERROR(VLOOKUP(A233,'Cadastro Geral Campistas'!$A:$R,9,0),"")</f>
        <v>Goiania</v>
      </c>
      <c r="G233" s="6" t="str">
        <f>IFERROR(VLOOKUP(A233,'Cadastro Geral Campistas'!$A:$R,3,0),"")</f>
        <v>G</v>
      </c>
      <c r="H233" s="7" t="str">
        <f>IFERROR(VLOOKUP(A233,'Cadastro Geral Campistas'!$A:$R,8,0),"")</f>
        <v>+55 (62) 98131-6708</v>
      </c>
      <c r="I233" s="101" t="str">
        <f>IF(AND(IFERROR(VLOOKUP(A233,'Cadastro Geral Campistas'!$A:$R,18,0),0)&gt;0,COUNTIF($A$219:$A$234,IFERROR(VLOOKUP(A233,'Cadastro Geral Campistas'!$A:$R,18,0),0))&gt;0),"⚠️ CONFLITO! Cônjuge na mesma tribo: "&amp;IFERROR(VLOOKUP(IFERROR(VLOOKUP(A233,'Cadastro Geral Campistas'!$A:$R,18,0),0),'Cadastro Geral Campistas'!$A:$R,2,""),""),TRIM(IF(AND(IFERROR(VLOOKUP(A233,'Cadastro Geral Campistas'!$A:$R,10,0),"")&lt;&gt;"",LOWER(TRIM(IFERROR(VLOOKUP(A233,'Cadastro Geral Campistas'!$A:$R,10,0),"")))&lt;&gt;"não",LOWER(TRIM(IFERROR(VLOOKUP(A233,'Cadastro Geral Campistas'!$A:$R,10,0),"")))&lt;&gt;"nao",LOWER(TRIM(IFERROR(VLOOKUP(A233,'Cadastro Geral Campistas'!$A:$R,10,0),"")))&lt;&gt;"0"),IFERROR(VLOOKUP(A233,'Cadastro Geral Campistas'!$A:$R,10,0),"")&amp;IF(AND(IFERROR(VLOOKUP(A233,'Cadastro Geral Campistas'!$A:$R,15,0),"")&lt;&gt;"",LOWER(TRIM(IFERROR(VLOOKUP(A233,'Cadastro Geral Campistas'!$A:$R,15,0),"")))&lt;&gt;"não",LOWER(TRIM(IFERROR(VLOOKUP(A233,'Cadastro Geral Campistas'!$A:$R,15,0),"")))&lt;&gt;"nao",LOWER(TRIM(IFERROR(VLOOKUP(A233,'Cadastro Geral Campistas'!$A:$R,15,0),"")))&lt;&gt;"0")," | Alergia: "&amp;IFERROR(VLOOKUP(A233,'Cadastro Geral Campistas'!$A:$R,15,0),""),""),IF(AND(IFERROR(VLOOKUP(A233,'Cadastro Geral Campistas'!$A:$R,15,0),"")&lt;&gt;"",LOWER(TRIM(IFERROR(VLOOKUP(A233,'Cadastro Geral Campistas'!$A:$R,15,0),"")))&lt;&gt;"não",LOWER(TRIM(IFERROR(VLOOKUP(A233,'Cadastro Geral Campistas'!$A:$R,15,0),"")))&lt;&gt;"nao",LOWER(TRIM(IFERROR(VLOOKUP(A233,'Cadastro Geral Campistas'!$A:$R,15,0),"")))&lt;&gt;"0"),"Alergia: "&amp;IFERROR(VLOOKUP(A233,'Cadastro Geral Campistas'!$A:$R,15,0),""),""))))</f>
        <v>Marisa Edith Arias</v>
      </c>
      <c r="J233" s="58" t="str">
        <f>IFERROR(VLOOKUP(A233,'Cadastro Geral Campistas'!$A:$R,4,0),"")</f>
        <v>M</v>
      </c>
    </row>
    <row r="234" spans="1:10" ht="18" customHeight="1" x14ac:dyDescent="0.55000000000000004">
      <c r="A234" s="88">
        <v>132</v>
      </c>
      <c r="B234" s="37" t="str">
        <f>IFERROR(VLOOKUP(A234,'Cadastro Geral Campistas'!$A:$R,2,0),"")</f>
        <v>Tiago Nunes de Castro</v>
      </c>
      <c r="C234" s="38">
        <f>IFERROR(VLOOKUP(A234,'Cadastro Geral Campistas'!$A:$R,5,0),"")</f>
        <v>106</v>
      </c>
      <c r="D234" s="38">
        <f>IFERROR(VLOOKUP(A234,'Cadastro Geral Campistas'!$A:$R,6,0),"")</f>
        <v>1.85</v>
      </c>
      <c r="E234" s="38">
        <f>IFERROR(VLOOKUP(A234,'Cadastro Geral Campistas'!$A:$R,7,0),"")</f>
        <v>41</v>
      </c>
      <c r="F234" s="37" t="str">
        <f>IFERROR(VLOOKUP(A234,'Cadastro Geral Campistas'!$A:$R,9,0),"")</f>
        <v>Trindade</v>
      </c>
      <c r="G234" s="38" t="str">
        <f>IFERROR(VLOOKUP(A234,'Cadastro Geral Campistas'!$A:$R,3,0),"")</f>
        <v>G1</v>
      </c>
      <c r="H234" s="37" t="str">
        <f>IFERROR(VLOOKUP(A234,'Cadastro Geral Campistas'!$A:$R,8,0),"")</f>
        <v>+55 (62) 99844-4010</v>
      </c>
      <c r="I234" s="111" t="str">
        <f>IF(AND(IFERROR(VLOOKUP(A234,'Cadastro Geral Campistas'!$A:$R,18,0),0)&gt;0,COUNTIF($A$219:$A$234,IFERROR(VLOOKUP(A234,'Cadastro Geral Campistas'!$A:$R,18,0),0))&gt;0),"⚠️ CONFLITO! Cônjuge na mesma tribo: "&amp;IFERROR(VLOOKUP(IFERROR(VLOOKUP(A234,'Cadastro Geral Campistas'!$A:$R,18,0),0),'Cadastro Geral Campistas'!$A:$R,2,""),""),TRIM(IF(AND(IFERROR(VLOOKUP(A234,'Cadastro Geral Campistas'!$A:$R,10,0),"")&lt;&gt;"",LOWER(TRIM(IFERROR(VLOOKUP(A234,'Cadastro Geral Campistas'!$A:$R,10,0),"")))&lt;&gt;"não",LOWER(TRIM(IFERROR(VLOOKUP(A234,'Cadastro Geral Campistas'!$A:$R,10,0),"")))&lt;&gt;"nao",LOWER(TRIM(IFERROR(VLOOKUP(A234,'Cadastro Geral Campistas'!$A:$R,10,0),"")))&lt;&gt;"0"),IFERROR(VLOOKUP(A234,'Cadastro Geral Campistas'!$A:$R,10,0),"")&amp;IF(AND(IFERROR(VLOOKUP(A234,'Cadastro Geral Campistas'!$A:$R,15,0),"")&lt;&gt;"",LOWER(TRIM(IFERROR(VLOOKUP(A234,'Cadastro Geral Campistas'!$A:$R,15,0),"")))&lt;&gt;"não",LOWER(TRIM(IFERROR(VLOOKUP(A234,'Cadastro Geral Campistas'!$A:$R,15,0),"")))&lt;&gt;"nao",LOWER(TRIM(IFERROR(VLOOKUP(A234,'Cadastro Geral Campistas'!$A:$R,15,0),"")))&lt;&gt;"0")," | Alergia: "&amp;IFERROR(VLOOKUP(A234,'Cadastro Geral Campistas'!$A:$R,15,0),""),""),IF(AND(IFERROR(VLOOKUP(A234,'Cadastro Geral Campistas'!$A:$R,15,0),"")&lt;&gt;"",LOWER(TRIM(IFERROR(VLOOKUP(A234,'Cadastro Geral Campistas'!$A:$R,15,0),"")))&lt;&gt;"não",LOWER(TRIM(IFERROR(VLOOKUP(A234,'Cadastro Geral Campistas'!$A:$R,15,0),"")))&lt;&gt;"nao",LOWER(TRIM(IFERROR(VLOOKUP(A234,'Cadastro Geral Campistas'!$A:$R,15,0),"")))&lt;&gt;"0"),"Alergia: "&amp;IFERROR(VLOOKUP(A234,'Cadastro Geral Campistas'!$A:$R,15,0),""),""))))</f>
        <v>Alergia: Não.</v>
      </c>
      <c r="J234" s="89" t="str">
        <f>IFERROR(VLOOKUP(A234,'Cadastro Geral Campistas'!$A:$R,4,0),"")</f>
        <v>M</v>
      </c>
    </row>
    <row r="235" spans="1:10" x14ac:dyDescent="0.55000000000000004">
      <c r="A235" s="61" t="s">
        <v>17</v>
      </c>
      <c r="B235" s="20"/>
      <c r="C235" s="20">
        <f>IFERROR(ROUND(AVERAGE(C219:C234),1),"")</f>
        <v>68.599999999999994</v>
      </c>
      <c r="D235" s="20"/>
      <c r="E235" s="20">
        <f>IFERROR(ROUND(AVERAGE(E219:E234),1),"")</f>
        <v>45.1</v>
      </c>
      <c r="F235" s="116"/>
      <c r="G235" s="104"/>
      <c r="H235" s="104"/>
      <c r="I235" s="126" t="str">
        <f>COUNTIF(J219:J234,"F")&amp;"  F    |    "&amp;COUNTIF(J219:J234,"M")&amp;"  M"</f>
        <v>8  F    |    8  M</v>
      </c>
      <c r="J235" s="127"/>
    </row>
    <row r="236" spans="1:10" x14ac:dyDescent="0.55000000000000004">
      <c r="A236" s="118"/>
      <c r="B236" s="119"/>
      <c r="C236" s="119"/>
      <c r="D236" s="119"/>
      <c r="E236" s="119"/>
      <c r="F236" s="119"/>
      <c r="G236" s="119"/>
      <c r="H236" s="119"/>
      <c r="I236" s="138" t="s">
        <v>18</v>
      </c>
      <c r="J236" s="131"/>
    </row>
    <row r="237" spans="1:10" x14ac:dyDescent="0.55000000000000004">
      <c r="A237" s="120"/>
      <c r="B237" s="121"/>
      <c r="C237" s="121"/>
      <c r="D237" s="121"/>
      <c r="E237" s="121"/>
      <c r="F237" s="121"/>
      <c r="G237" s="121"/>
      <c r="H237" s="121"/>
      <c r="I237" s="124" t="s">
        <v>103</v>
      </c>
      <c r="J237" s="125"/>
    </row>
    <row r="238" spans="1:10" x14ac:dyDescent="0.55000000000000004">
      <c r="A238" s="120"/>
      <c r="B238" s="121"/>
      <c r="C238" s="121"/>
      <c r="D238" s="121"/>
      <c r="E238" s="121"/>
      <c r="F238" s="121"/>
      <c r="G238" s="121"/>
      <c r="H238" s="121"/>
      <c r="I238" s="124" t="s">
        <v>104</v>
      </c>
      <c r="J238" s="125"/>
    </row>
    <row r="239" spans="1:10" x14ac:dyDescent="0.55000000000000004">
      <c r="A239" s="120"/>
      <c r="B239" s="121"/>
      <c r="C239" s="121"/>
      <c r="D239" s="121"/>
      <c r="E239" s="121"/>
      <c r="F239" s="121"/>
      <c r="G239" s="121"/>
      <c r="H239" s="121"/>
      <c r="I239" s="124" t="s">
        <v>105</v>
      </c>
      <c r="J239" s="125"/>
    </row>
    <row r="240" spans="1:10" x14ac:dyDescent="0.55000000000000004">
      <c r="A240" s="120"/>
      <c r="B240" s="121"/>
      <c r="C240" s="121"/>
      <c r="D240" s="121"/>
      <c r="E240" s="121"/>
      <c r="F240" s="121"/>
      <c r="G240" s="121"/>
      <c r="H240" s="121"/>
      <c r="I240" s="124" t="s">
        <v>106</v>
      </c>
      <c r="J240" s="125"/>
    </row>
    <row r="241" spans="1:10" x14ac:dyDescent="0.55000000000000004">
      <c r="A241" s="120"/>
      <c r="B241" s="121"/>
      <c r="C241" s="121"/>
      <c r="D241" s="121"/>
      <c r="E241" s="121"/>
      <c r="F241" s="121"/>
      <c r="G241" s="121"/>
      <c r="H241" s="121"/>
      <c r="I241" s="124" t="s">
        <v>107</v>
      </c>
      <c r="J241" s="125"/>
    </row>
    <row r="242" spans="1:10" x14ac:dyDescent="0.55000000000000004">
      <c r="A242" s="120"/>
      <c r="B242" s="121"/>
      <c r="C242" s="121"/>
      <c r="D242" s="121"/>
      <c r="E242" s="121"/>
      <c r="F242" s="121"/>
      <c r="G242" s="121"/>
      <c r="H242" s="121"/>
      <c r="I242" s="124" t="s">
        <v>108</v>
      </c>
      <c r="J242" s="125"/>
    </row>
    <row r="243" spans="1:10" x14ac:dyDescent="0.55000000000000004">
      <c r="A243" s="120"/>
      <c r="B243" s="121"/>
      <c r="C243" s="121"/>
      <c r="D243" s="121"/>
      <c r="E243" s="121"/>
      <c r="F243" s="121"/>
      <c r="G243" s="121"/>
      <c r="H243" s="121"/>
      <c r="I243" s="124" t="s">
        <v>109</v>
      </c>
      <c r="J243" s="125"/>
    </row>
    <row r="244" spans="1:10" x14ac:dyDescent="0.55000000000000004">
      <c r="A244" s="120"/>
      <c r="B244" s="121"/>
      <c r="C244" s="121"/>
      <c r="D244" s="121"/>
      <c r="E244" s="121"/>
      <c r="F244" s="121"/>
      <c r="G244" s="121"/>
      <c r="H244" s="121"/>
      <c r="I244" s="124" t="s">
        <v>110</v>
      </c>
      <c r="J244" s="125"/>
    </row>
    <row r="245" spans="1:10" ht="14.7" customHeight="1" thickBot="1" x14ac:dyDescent="0.6">
      <c r="A245" s="122"/>
      <c r="B245" s="123"/>
      <c r="C245" s="123"/>
      <c r="D245" s="123"/>
      <c r="E245" s="123"/>
      <c r="F245" s="123"/>
      <c r="G245" s="123"/>
      <c r="H245" s="123"/>
      <c r="I245" s="132" t="s">
        <v>111</v>
      </c>
      <c r="J245" s="133"/>
    </row>
    <row r="246" spans="1:10" ht="28" customHeight="1" x14ac:dyDescent="0.55000000000000004">
      <c r="A246" s="174" t="s">
        <v>112</v>
      </c>
      <c r="B246" s="136"/>
      <c r="C246" s="136"/>
      <c r="D246" s="136"/>
      <c r="E246" s="159" t="s">
        <v>113</v>
      </c>
      <c r="F246" s="136"/>
      <c r="G246" s="136"/>
      <c r="H246" s="136"/>
      <c r="I246" s="136"/>
      <c r="J246" s="144"/>
    </row>
    <row r="247" spans="1:10" x14ac:dyDescent="0.55000000000000004">
      <c r="A247" s="149" t="s">
        <v>2</v>
      </c>
      <c r="B247" s="121"/>
      <c r="C247" s="121"/>
      <c r="D247" s="128"/>
      <c r="E247" s="121"/>
      <c r="F247" s="121"/>
      <c r="G247" s="140" t="s">
        <v>3</v>
      </c>
      <c r="H247" s="121"/>
      <c r="I247" s="121"/>
      <c r="J247" s="125"/>
    </row>
    <row r="248" spans="1:10" x14ac:dyDescent="0.55000000000000004">
      <c r="A248" s="120"/>
      <c r="B248" s="121"/>
      <c r="C248" s="121"/>
      <c r="D248" s="121"/>
      <c r="E248" s="121"/>
      <c r="F248" s="121"/>
      <c r="G248" s="121"/>
      <c r="H248" s="121"/>
      <c r="I248" s="121"/>
      <c r="J248" s="125"/>
    </row>
    <row r="249" spans="1:10" ht="14.7" customHeight="1" thickBot="1" x14ac:dyDescent="0.6">
      <c r="A249" s="120"/>
      <c r="B249" s="121"/>
      <c r="C249" s="121"/>
      <c r="D249" s="121"/>
      <c r="E249" s="121"/>
      <c r="F249" s="121"/>
      <c r="G249" s="121"/>
      <c r="H249" s="121"/>
      <c r="I249" s="121"/>
      <c r="J249" s="125"/>
    </row>
    <row r="250" spans="1:10" x14ac:dyDescent="0.55000000000000004">
      <c r="A250" s="164" t="s">
        <v>114</v>
      </c>
      <c r="B250" s="136"/>
      <c r="C250" s="144"/>
      <c r="D250" s="121"/>
      <c r="E250" s="121"/>
      <c r="F250" s="121"/>
      <c r="G250" s="167" t="s">
        <v>115</v>
      </c>
      <c r="H250" s="121"/>
      <c r="I250" s="121"/>
      <c r="J250" s="125"/>
    </row>
    <row r="251" spans="1:10" ht="14.7" customHeight="1" thickBot="1" x14ac:dyDescent="0.6">
      <c r="A251" s="178" t="s">
        <v>116</v>
      </c>
      <c r="B251" s="123"/>
      <c r="C251" s="133"/>
      <c r="D251" s="121"/>
      <c r="E251" s="121"/>
      <c r="F251" s="121"/>
      <c r="G251" s="145"/>
      <c r="H251" s="121"/>
      <c r="I251" s="121"/>
      <c r="J251" s="125"/>
    </row>
    <row r="252" spans="1:10" x14ac:dyDescent="0.55000000000000004">
      <c r="A252" s="162"/>
      <c r="B252" s="129"/>
      <c r="C252" s="129"/>
      <c r="D252" s="129"/>
      <c r="E252" s="129"/>
      <c r="F252" s="129"/>
      <c r="G252" s="129"/>
      <c r="H252" s="129"/>
      <c r="I252" s="129"/>
      <c r="J252" s="146"/>
    </row>
    <row r="253" spans="1:10" x14ac:dyDescent="0.55000000000000004">
      <c r="A253" s="92" t="s">
        <v>7</v>
      </c>
      <c r="B253" s="93" t="s">
        <v>8</v>
      </c>
      <c r="C253" s="93" t="s">
        <v>9</v>
      </c>
      <c r="D253" s="93" t="s">
        <v>10</v>
      </c>
      <c r="E253" s="93" t="s">
        <v>11</v>
      </c>
      <c r="F253" s="93" t="s">
        <v>12</v>
      </c>
      <c r="G253" s="93" t="s">
        <v>13</v>
      </c>
      <c r="H253" s="93" t="s">
        <v>14</v>
      </c>
      <c r="I253" s="93" t="s">
        <v>15</v>
      </c>
      <c r="J253" s="94" t="s">
        <v>16</v>
      </c>
    </row>
    <row r="254" spans="1:10" ht="18" customHeight="1" x14ac:dyDescent="0.55000000000000004">
      <c r="A254" s="57">
        <v>9</v>
      </c>
      <c r="B254" s="7" t="str">
        <f>IFERROR(VLOOKUP(A254,'Cadastro Geral Campistas'!$A:$R,2,0),"")</f>
        <v>Ana Luiza Vaz Carvalho</v>
      </c>
      <c r="C254" s="6">
        <f>IFERROR(VLOOKUP(A254,'Cadastro Geral Campistas'!$A:$R,5,0),"")</f>
        <v>59</v>
      </c>
      <c r="D254" s="6">
        <f>IFERROR(VLOOKUP(A254,'Cadastro Geral Campistas'!$A:$R,6,0),"")</f>
        <v>1.63</v>
      </c>
      <c r="E254" s="6">
        <f>IFERROR(VLOOKUP(A254,'Cadastro Geral Campistas'!$A:$R,7,0),"")</f>
        <v>27</v>
      </c>
      <c r="F254" s="7" t="str">
        <f>IFERROR(VLOOKUP(A254,'Cadastro Geral Campistas'!$A:$R,9,0),"")</f>
        <v>Goiânia</v>
      </c>
      <c r="G254" s="6" t="str">
        <f>IFERROR(VLOOKUP(A254,'Cadastro Geral Campistas'!$A:$R,3,0),"")</f>
        <v>M</v>
      </c>
      <c r="H254" s="7" t="str">
        <f>IFERROR(VLOOKUP(A254,'Cadastro Geral Campistas'!$A:$R,8,0),"")</f>
        <v>+55 (62) 99321-9967</v>
      </c>
      <c r="I254" s="101" t="str">
        <f>IF(AND(IFERROR(VLOOKUP(A254,'Cadastro Geral Campistas'!$A:$R,18,0),0)&gt;0,COUNTIF($A$254:$A$269,IFERROR(VLOOKUP(A254,'Cadastro Geral Campistas'!$A:$R,18,0),0))&gt;0),"⚠️ CONFLITO! Cônjuge na mesma tribo: "&amp;IFERROR(VLOOKUP(IFERROR(VLOOKUP(A254,'Cadastro Geral Campistas'!$A:$R,18,0),0),'Cadastro Geral Campistas'!$A:$R,2,""),""),TRIM(IF(AND(IFERROR(VLOOKUP(A254,'Cadastro Geral Campistas'!$A:$R,10,0),"")&lt;&gt;"",LOWER(TRIM(IFERROR(VLOOKUP(A254,'Cadastro Geral Campistas'!$A:$R,10,0),"")))&lt;&gt;"não",LOWER(TRIM(IFERROR(VLOOKUP(A254,'Cadastro Geral Campistas'!$A:$R,10,0),"")))&lt;&gt;"nao",LOWER(TRIM(IFERROR(VLOOKUP(A254,'Cadastro Geral Campistas'!$A:$R,10,0),"")))&lt;&gt;"0"),IFERROR(VLOOKUP(A254,'Cadastro Geral Campistas'!$A:$R,10,0),"")&amp;IF(AND(IFERROR(VLOOKUP(A254,'Cadastro Geral Campistas'!$A:$R,15,0),"")&lt;&gt;"",LOWER(TRIM(IFERROR(VLOOKUP(A254,'Cadastro Geral Campistas'!$A:$R,15,0),"")))&lt;&gt;"não",LOWER(TRIM(IFERROR(VLOOKUP(A254,'Cadastro Geral Campistas'!$A:$R,15,0),"")))&lt;&gt;"nao",LOWER(TRIM(IFERROR(VLOOKUP(A254,'Cadastro Geral Campistas'!$A:$R,15,0),"")))&lt;&gt;"0")," | Alergia: "&amp;IFERROR(VLOOKUP(A254,'Cadastro Geral Campistas'!$A:$R,15,0),""),""),IF(AND(IFERROR(VLOOKUP(A254,'Cadastro Geral Campistas'!$A:$R,15,0),"")&lt;&gt;"",LOWER(TRIM(IFERROR(VLOOKUP(A254,'Cadastro Geral Campistas'!$A:$R,15,0),"")))&lt;&gt;"não",LOWER(TRIM(IFERROR(VLOOKUP(A254,'Cadastro Geral Campistas'!$A:$R,15,0),"")))&lt;&gt;"nao",LOWER(TRIM(IFERROR(VLOOKUP(A254,'Cadastro Geral Campistas'!$A:$R,15,0),"")))&lt;&gt;"0"),"Alergia: "&amp;IFERROR(VLOOKUP(A254,'Cadastro Geral Campistas'!$A:$R,15,0),""),""))))</f>
        <v>Julia Jayme. Foi da minha turma de faculdade.</v>
      </c>
      <c r="J254" s="58" t="str">
        <f>IFERROR(VLOOKUP(A254,'Cadastro Geral Campistas'!$A:$R,4,0),"")</f>
        <v>F</v>
      </c>
    </row>
    <row r="255" spans="1:10" ht="18" customHeight="1" x14ac:dyDescent="0.55000000000000004">
      <c r="A255" s="55">
        <v>12</v>
      </c>
      <c r="B255" s="3" t="str">
        <f>IFERROR(VLOOKUP(A255,'Cadastro Geral Campistas'!$A:$R,2,0),"")</f>
        <v>Ariane Dias da Luz</v>
      </c>
      <c r="C255" s="2">
        <f>IFERROR(VLOOKUP(A255,'Cadastro Geral Campistas'!$A:$R,5,0),"")</f>
        <v>72</v>
      </c>
      <c r="D255" s="2">
        <f>IFERROR(VLOOKUP(A255,'Cadastro Geral Campistas'!$A:$R,6,0),"")</f>
        <v>1.65</v>
      </c>
      <c r="E255" s="2">
        <f>IFERROR(VLOOKUP(A255,'Cadastro Geral Campistas'!$A:$R,7,0),"")</f>
        <v>30</v>
      </c>
      <c r="F255" s="3" t="str">
        <f>IFERROR(VLOOKUP(A255,'Cadastro Geral Campistas'!$A:$R,9,0),"")</f>
        <v>Aparecida de Goiania</v>
      </c>
      <c r="G255" s="2" t="str">
        <f>IFERROR(VLOOKUP(A255,'Cadastro Geral Campistas'!$A:$R,3,0),"")</f>
        <v>M</v>
      </c>
      <c r="H255" s="3" t="str">
        <f>IFERROR(VLOOKUP(A255,'Cadastro Geral Campistas'!$A:$R,8,0),"")</f>
        <v>+55 (62) 98237-5037</v>
      </c>
      <c r="I255" s="103" t="str">
        <f>IF(AND(IFERROR(VLOOKUP(A255,'Cadastro Geral Campistas'!$A:$R,18,0),0)&gt;0,COUNTIF($A$254:$A$269,IFERROR(VLOOKUP(A255,'Cadastro Geral Campistas'!$A:$R,18,0),0))&gt;0),"⚠️ CONFLITO! Cônjuge na mesma tribo: "&amp;IFERROR(VLOOKUP(IFERROR(VLOOKUP(A255,'Cadastro Geral Campistas'!$A:$R,18,0),0),'Cadastro Geral Campistas'!$A:$R,2,""),""),TRIM(IF(AND(IFERROR(VLOOKUP(A255,'Cadastro Geral Campistas'!$A:$R,10,0),"")&lt;&gt;"",LOWER(TRIM(IFERROR(VLOOKUP(A255,'Cadastro Geral Campistas'!$A:$R,10,0),"")))&lt;&gt;"não",LOWER(TRIM(IFERROR(VLOOKUP(A255,'Cadastro Geral Campistas'!$A:$R,10,0),"")))&lt;&gt;"nao",LOWER(TRIM(IFERROR(VLOOKUP(A255,'Cadastro Geral Campistas'!$A:$R,10,0),"")))&lt;&gt;"0"),IFERROR(VLOOKUP(A255,'Cadastro Geral Campistas'!$A:$R,10,0),"")&amp;IF(AND(IFERROR(VLOOKUP(A255,'Cadastro Geral Campistas'!$A:$R,15,0),"")&lt;&gt;"",LOWER(TRIM(IFERROR(VLOOKUP(A255,'Cadastro Geral Campistas'!$A:$R,15,0),"")))&lt;&gt;"não",LOWER(TRIM(IFERROR(VLOOKUP(A255,'Cadastro Geral Campistas'!$A:$R,15,0),"")))&lt;&gt;"nao",LOWER(TRIM(IFERROR(VLOOKUP(A255,'Cadastro Geral Campistas'!$A:$R,15,0),"")))&lt;&gt;"0")," | Alergia: "&amp;IFERROR(VLOOKUP(A255,'Cadastro Geral Campistas'!$A:$R,15,0),""),""),IF(AND(IFERROR(VLOOKUP(A255,'Cadastro Geral Campistas'!$A:$R,15,0),"")&lt;&gt;"",LOWER(TRIM(IFERROR(VLOOKUP(A255,'Cadastro Geral Campistas'!$A:$R,15,0),"")))&lt;&gt;"não",LOWER(TRIM(IFERROR(VLOOKUP(A255,'Cadastro Geral Campistas'!$A:$R,15,0),"")))&lt;&gt;"nao",LOWER(TRIM(IFERROR(VLOOKUP(A255,'Cadastro Geral Campistas'!$A:$R,15,0),"")))&lt;&gt;"0"),"Alergia: "&amp;IFERROR(VLOOKUP(A255,'Cadastro Geral Campistas'!$A:$R,15,0),""),""))))</f>
        <v>Sim Marcos Felipe</v>
      </c>
      <c r="J255" s="56" t="str">
        <f>IFERROR(VLOOKUP(A255,'Cadastro Geral Campistas'!$A:$R,4,0),"")</f>
        <v>F</v>
      </c>
    </row>
    <row r="256" spans="1:10" ht="18" customHeight="1" x14ac:dyDescent="0.55000000000000004">
      <c r="A256" s="57">
        <v>24</v>
      </c>
      <c r="B256" s="7" t="str">
        <f>IFERROR(VLOOKUP(A256,'Cadastro Geral Campistas'!$A:$R,2,0),"")</f>
        <v>Celma Maria de Queiroz Silva</v>
      </c>
      <c r="C256" s="6">
        <f>IFERROR(VLOOKUP(A256,'Cadastro Geral Campistas'!$A:$R,5,0),"")</f>
        <v>70</v>
      </c>
      <c r="D256" s="6">
        <f>IFERROR(VLOOKUP(A256,'Cadastro Geral Campistas'!$A:$R,6,0),"")</f>
        <v>1.67</v>
      </c>
      <c r="E256" s="6">
        <f>IFERROR(VLOOKUP(A256,'Cadastro Geral Campistas'!$A:$R,7,0),"")</f>
        <v>66</v>
      </c>
      <c r="F256" s="7" t="str">
        <f>IFERROR(VLOOKUP(A256,'Cadastro Geral Campistas'!$A:$R,9,0),"")</f>
        <v>Goiânia</v>
      </c>
      <c r="G256" s="6" t="str">
        <f>IFERROR(VLOOKUP(A256,'Cadastro Geral Campistas'!$A:$R,3,0),"")</f>
        <v>M</v>
      </c>
      <c r="H256" s="7" t="str">
        <f>IFERROR(VLOOKUP(A256,'Cadastro Geral Campistas'!$A:$R,8,0),"")</f>
        <v>+55 (62) 98208-2395</v>
      </c>
      <c r="I256" s="101" t="str">
        <f>IF(AND(IFERROR(VLOOKUP(A256,'Cadastro Geral Campistas'!$A:$R,18,0),0)&gt;0,COUNTIF($A$254:$A$269,IFERROR(VLOOKUP(A256,'Cadastro Geral Campistas'!$A:$R,18,0),0))&gt;0),"⚠️ CONFLITO! Cônjuge na mesma tribo: "&amp;IFERROR(VLOOKUP(IFERROR(VLOOKUP(A256,'Cadastro Geral Campistas'!$A:$R,18,0),0),'Cadastro Geral Campistas'!$A:$R,2,""),""),TRIM(IF(AND(IFERROR(VLOOKUP(A256,'Cadastro Geral Campistas'!$A:$R,10,0),"")&lt;&gt;"",LOWER(TRIM(IFERROR(VLOOKUP(A256,'Cadastro Geral Campistas'!$A:$R,10,0),"")))&lt;&gt;"não",LOWER(TRIM(IFERROR(VLOOKUP(A256,'Cadastro Geral Campistas'!$A:$R,10,0),"")))&lt;&gt;"nao",LOWER(TRIM(IFERROR(VLOOKUP(A256,'Cadastro Geral Campistas'!$A:$R,10,0),"")))&lt;&gt;"0"),IFERROR(VLOOKUP(A256,'Cadastro Geral Campistas'!$A:$R,10,0),"")&amp;IF(AND(IFERROR(VLOOKUP(A256,'Cadastro Geral Campistas'!$A:$R,15,0),"")&lt;&gt;"",LOWER(TRIM(IFERROR(VLOOKUP(A256,'Cadastro Geral Campistas'!$A:$R,15,0),"")))&lt;&gt;"não",LOWER(TRIM(IFERROR(VLOOKUP(A256,'Cadastro Geral Campistas'!$A:$R,15,0),"")))&lt;&gt;"nao",LOWER(TRIM(IFERROR(VLOOKUP(A256,'Cadastro Geral Campistas'!$A:$R,15,0),"")))&lt;&gt;"0")," | Alergia: "&amp;IFERROR(VLOOKUP(A256,'Cadastro Geral Campistas'!$A:$R,15,0),""),""),IF(AND(IFERROR(VLOOKUP(A256,'Cadastro Geral Campistas'!$A:$R,15,0),"")&lt;&gt;"",LOWER(TRIM(IFERROR(VLOOKUP(A256,'Cadastro Geral Campistas'!$A:$R,15,0),"")))&lt;&gt;"não",LOWER(TRIM(IFERROR(VLOOKUP(A256,'Cadastro Geral Campistas'!$A:$R,15,0),"")))&lt;&gt;"nao",LOWER(TRIM(IFERROR(VLOOKUP(A256,'Cadastro Geral Campistas'!$A:$R,15,0),"")))&lt;&gt;"0"),"Alergia: "&amp;IFERROR(VLOOKUP(A256,'Cadastro Geral Campistas'!$A:$R,15,0),""),""))))</f>
        <v>Alergia: Alergia a Sulfa e Penicilina</v>
      </c>
      <c r="J256" s="58" t="str">
        <f>IFERROR(VLOOKUP(A256,'Cadastro Geral Campistas'!$A:$R,4,0),"")</f>
        <v>F</v>
      </c>
    </row>
    <row r="257" spans="1:10" ht="18" customHeight="1" x14ac:dyDescent="0.55000000000000004">
      <c r="A257" s="90">
        <v>43</v>
      </c>
      <c r="B257" s="40" t="str">
        <f>IFERROR(VLOOKUP(A257,'Cadastro Geral Campistas'!$A:$R,2,0),"")</f>
        <v>Fernanda Roncolato</v>
      </c>
      <c r="C257" s="41">
        <f>IFERROR(VLOOKUP(A257,'Cadastro Geral Campistas'!$A:$R,5,0),"")</f>
        <v>73</v>
      </c>
      <c r="D257" s="41">
        <f>IFERROR(VLOOKUP(A257,'Cadastro Geral Campistas'!$A:$R,6,0),"")</f>
        <v>1.64</v>
      </c>
      <c r="E257" s="41">
        <f>IFERROR(VLOOKUP(A257,'Cadastro Geral Campistas'!$A:$R,7,0),"")</f>
        <v>45</v>
      </c>
      <c r="F257" s="40" t="str">
        <f>IFERROR(VLOOKUP(A257,'Cadastro Geral Campistas'!$A:$R,9,0),"")</f>
        <v>Goiânia</v>
      </c>
      <c r="G257" s="41" t="str">
        <f>IFERROR(VLOOKUP(A257,'Cadastro Geral Campistas'!$A:$R,3,0),"")</f>
        <v>M</v>
      </c>
      <c r="H257" s="40" t="str">
        <f>IFERROR(VLOOKUP(A257,'Cadastro Geral Campistas'!$A:$R,8,0),"")</f>
        <v>+55 (62) 98533-8606</v>
      </c>
      <c r="I257" s="112" t="str">
        <f>IF(AND(IFERROR(VLOOKUP(A257,'Cadastro Geral Campistas'!$A:$R,18,0),0)&gt;0,COUNTIF($A$254:$A$269,IFERROR(VLOOKUP(A257,'Cadastro Geral Campistas'!$A:$R,18,0),0))&gt;0),"⚠️ CONFLITO! Cônjuge na mesma tribo: "&amp;IFERROR(VLOOKUP(IFERROR(VLOOKUP(A257,'Cadastro Geral Campistas'!$A:$R,18,0),0),'Cadastro Geral Campistas'!$A:$R,2,""),""),TRIM(IF(AND(IFERROR(VLOOKUP(A257,'Cadastro Geral Campistas'!$A:$R,10,0),"")&lt;&gt;"",LOWER(TRIM(IFERROR(VLOOKUP(A257,'Cadastro Geral Campistas'!$A:$R,10,0),"")))&lt;&gt;"não",LOWER(TRIM(IFERROR(VLOOKUP(A257,'Cadastro Geral Campistas'!$A:$R,10,0),"")))&lt;&gt;"nao",LOWER(TRIM(IFERROR(VLOOKUP(A257,'Cadastro Geral Campistas'!$A:$R,10,0),"")))&lt;&gt;"0"),IFERROR(VLOOKUP(A257,'Cadastro Geral Campistas'!$A:$R,10,0),"")&amp;IF(AND(IFERROR(VLOOKUP(A257,'Cadastro Geral Campistas'!$A:$R,15,0),"")&lt;&gt;"",LOWER(TRIM(IFERROR(VLOOKUP(A257,'Cadastro Geral Campistas'!$A:$R,15,0),"")))&lt;&gt;"não",LOWER(TRIM(IFERROR(VLOOKUP(A257,'Cadastro Geral Campistas'!$A:$R,15,0),"")))&lt;&gt;"nao",LOWER(TRIM(IFERROR(VLOOKUP(A257,'Cadastro Geral Campistas'!$A:$R,15,0),"")))&lt;&gt;"0")," | Alergia: "&amp;IFERROR(VLOOKUP(A257,'Cadastro Geral Campistas'!$A:$R,15,0),""),""),IF(AND(IFERROR(VLOOKUP(A257,'Cadastro Geral Campistas'!$A:$R,15,0),"")&lt;&gt;"",LOWER(TRIM(IFERROR(VLOOKUP(A257,'Cadastro Geral Campistas'!$A:$R,15,0),"")))&lt;&gt;"não",LOWER(TRIM(IFERROR(VLOOKUP(A257,'Cadastro Geral Campistas'!$A:$R,15,0),"")))&lt;&gt;"nao",LOWER(TRIM(IFERROR(VLOOKUP(A257,'Cadastro Geral Campistas'!$A:$R,15,0),"")))&lt;&gt;"0"),"Alergia: "&amp;IFERROR(VLOOKUP(A257,'Cadastro Geral Campistas'!$A:$R,15,0),""),""))))</f>
        <v/>
      </c>
      <c r="J257" s="91" t="str">
        <f>IFERROR(VLOOKUP(A257,'Cadastro Geral Campistas'!$A:$R,4,0),"")</f>
        <v>F</v>
      </c>
    </row>
    <row r="258" spans="1:10" ht="18" customHeight="1" x14ac:dyDescent="0.55000000000000004">
      <c r="A258" s="57">
        <v>61</v>
      </c>
      <c r="B258" s="7" t="str">
        <f>IFERROR(VLOOKUP(A258,'Cadastro Geral Campistas'!$A:$R,2,0),"")</f>
        <v>Jessica Damasceno</v>
      </c>
      <c r="C258" s="6">
        <f>IFERROR(VLOOKUP(A258,'Cadastro Geral Campistas'!$A:$R,5,0),"")</f>
        <v>59</v>
      </c>
      <c r="D258" s="6">
        <f>IFERROR(VLOOKUP(A258,'Cadastro Geral Campistas'!$A:$R,6,0),"")</f>
        <v>1.64</v>
      </c>
      <c r="E258" s="6">
        <f>IFERROR(VLOOKUP(A258,'Cadastro Geral Campistas'!$A:$R,7,0),"")</f>
        <v>29</v>
      </c>
      <c r="F258" s="7" t="str">
        <f>IFERROR(VLOOKUP(A258,'Cadastro Geral Campistas'!$A:$R,9,0),"")</f>
        <v>Goiânia</v>
      </c>
      <c r="G258" s="6" t="str">
        <f>IFERROR(VLOOKUP(A258,'Cadastro Geral Campistas'!$A:$R,3,0),"")</f>
        <v>PP</v>
      </c>
      <c r="H258" s="7" t="str">
        <f>IFERROR(VLOOKUP(A258,'Cadastro Geral Campistas'!$A:$R,8,0),"")</f>
        <v>+55 (62) 99135-0892</v>
      </c>
      <c r="I258" s="101" t="str">
        <f>IF(AND(IFERROR(VLOOKUP(A258,'Cadastro Geral Campistas'!$A:$R,18,0),0)&gt;0,COUNTIF($A$254:$A$269,IFERROR(VLOOKUP(A258,'Cadastro Geral Campistas'!$A:$R,18,0),0))&gt;0),"⚠️ CONFLITO! Cônjuge na mesma tribo: "&amp;IFERROR(VLOOKUP(IFERROR(VLOOKUP(A258,'Cadastro Geral Campistas'!$A:$R,18,0),0),'Cadastro Geral Campistas'!$A:$R,2,""),""),TRIM(IF(AND(IFERROR(VLOOKUP(A258,'Cadastro Geral Campistas'!$A:$R,10,0),"")&lt;&gt;"",LOWER(TRIM(IFERROR(VLOOKUP(A258,'Cadastro Geral Campistas'!$A:$R,10,0),"")))&lt;&gt;"não",LOWER(TRIM(IFERROR(VLOOKUP(A258,'Cadastro Geral Campistas'!$A:$R,10,0),"")))&lt;&gt;"nao",LOWER(TRIM(IFERROR(VLOOKUP(A258,'Cadastro Geral Campistas'!$A:$R,10,0),"")))&lt;&gt;"0"),IFERROR(VLOOKUP(A258,'Cadastro Geral Campistas'!$A:$R,10,0),"")&amp;IF(AND(IFERROR(VLOOKUP(A258,'Cadastro Geral Campistas'!$A:$R,15,0),"")&lt;&gt;"",LOWER(TRIM(IFERROR(VLOOKUP(A258,'Cadastro Geral Campistas'!$A:$R,15,0),"")))&lt;&gt;"não",LOWER(TRIM(IFERROR(VLOOKUP(A258,'Cadastro Geral Campistas'!$A:$R,15,0),"")))&lt;&gt;"nao",LOWER(TRIM(IFERROR(VLOOKUP(A258,'Cadastro Geral Campistas'!$A:$R,15,0),"")))&lt;&gt;"0")," | Alergia: "&amp;IFERROR(VLOOKUP(A258,'Cadastro Geral Campistas'!$A:$R,15,0),""),""),IF(AND(IFERROR(VLOOKUP(A258,'Cadastro Geral Campistas'!$A:$R,15,0),"")&lt;&gt;"",LOWER(TRIM(IFERROR(VLOOKUP(A258,'Cadastro Geral Campistas'!$A:$R,15,0),"")))&lt;&gt;"não",LOWER(TRIM(IFERROR(VLOOKUP(A258,'Cadastro Geral Campistas'!$A:$R,15,0),"")))&lt;&gt;"nao",LOWER(TRIM(IFERROR(VLOOKUP(A258,'Cadastro Geral Campistas'!$A:$R,15,0),"")))&lt;&gt;"0"),"Alergia: "&amp;IFERROR(VLOOKUP(A258,'Cadastro Geral Campistas'!$A:$R,15,0),""),""))))</f>
        <v>Alergia: Alergia a picada de insetos</v>
      </c>
      <c r="J258" s="58" t="str">
        <f>IFERROR(VLOOKUP(A258,'Cadastro Geral Campistas'!$A:$R,4,0),"")</f>
        <v>F</v>
      </c>
    </row>
    <row r="259" spans="1:10" ht="18" customHeight="1" x14ac:dyDescent="0.55000000000000004">
      <c r="A259" s="55">
        <v>100</v>
      </c>
      <c r="B259" s="3" t="str">
        <f>IFERROR(VLOOKUP(A259,'Cadastro Geral Campistas'!$A:$R,2,0),"")</f>
        <v>Maria Ivone Pinto Brandão Silva</v>
      </c>
      <c r="C259" s="2">
        <f>IFERROR(VLOOKUP(A259,'Cadastro Geral Campistas'!$A:$R,5,0),"")</f>
        <v>75</v>
      </c>
      <c r="D259" s="2">
        <f>IFERROR(VLOOKUP(A259,'Cadastro Geral Campistas'!$A:$R,6,0),"")</f>
        <v>1.59</v>
      </c>
      <c r="E259" s="2">
        <f>IFERROR(VLOOKUP(A259,'Cadastro Geral Campistas'!$A:$R,7,0),"")</f>
        <v>62</v>
      </c>
      <c r="F259" s="3" t="str">
        <f>IFERROR(VLOOKUP(A259,'Cadastro Geral Campistas'!$A:$R,9,0),"")</f>
        <v>Goiânia</v>
      </c>
      <c r="G259" s="2" t="str">
        <f>IFERROR(VLOOKUP(A259,'Cadastro Geral Campistas'!$A:$R,3,0),"")</f>
        <v>G</v>
      </c>
      <c r="H259" s="3" t="str">
        <f>IFERROR(VLOOKUP(A259,'Cadastro Geral Campistas'!$A:$R,8,0),"")</f>
        <v>+55 (62) 99103-4522</v>
      </c>
      <c r="I259" s="103" t="str">
        <f>IF(AND(IFERROR(VLOOKUP(A259,'Cadastro Geral Campistas'!$A:$R,18,0),0)&gt;0,COUNTIF($A$254:$A$269,IFERROR(VLOOKUP(A259,'Cadastro Geral Campistas'!$A:$R,18,0),0))&gt;0),"⚠️ CONFLITO! Cônjuge na mesma tribo: "&amp;IFERROR(VLOOKUP(IFERROR(VLOOKUP(A259,'Cadastro Geral Campistas'!$A:$R,18,0),0),'Cadastro Geral Campistas'!$A:$R,2,""),""),TRIM(IF(AND(IFERROR(VLOOKUP(A259,'Cadastro Geral Campistas'!$A:$R,10,0),"")&lt;&gt;"",LOWER(TRIM(IFERROR(VLOOKUP(A259,'Cadastro Geral Campistas'!$A:$R,10,0),"")))&lt;&gt;"não",LOWER(TRIM(IFERROR(VLOOKUP(A259,'Cadastro Geral Campistas'!$A:$R,10,0),"")))&lt;&gt;"nao",LOWER(TRIM(IFERROR(VLOOKUP(A259,'Cadastro Geral Campistas'!$A:$R,10,0),"")))&lt;&gt;"0"),IFERROR(VLOOKUP(A259,'Cadastro Geral Campistas'!$A:$R,10,0),"")&amp;IF(AND(IFERROR(VLOOKUP(A259,'Cadastro Geral Campistas'!$A:$R,15,0),"")&lt;&gt;"",LOWER(TRIM(IFERROR(VLOOKUP(A259,'Cadastro Geral Campistas'!$A:$R,15,0),"")))&lt;&gt;"não",LOWER(TRIM(IFERROR(VLOOKUP(A259,'Cadastro Geral Campistas'!$A:$R,15,0),"")))&lt;&gt;"nao",LOWER(TRIM(IFERROR(VLOOKUP(A259,'Cadastro Geral Campistas'!$A:$R,15,0),"")))&lt;&gt;"0")," | Alergia: "&amp;IFERROR(VLOOKUP(A259,'Cadastro Geral Campistas'!$A:$R,15,0),""),""),IF(AND(IFERROR(VLOOKUP(A259,'Cadastro Geral Campistas'!$A:$R,15,0),"")&lt;&gt;"",LOWER(TRIM(IFERROR(VLOOKUP(A259,'Cadastro Geral Campistas'!$A:$R,15,0),"")))&lt;&gt;"não",LOWER(TRIM(IFERROR(VLOOKUP(A259,'Cadastro Geral Campistas'!$A:$R,15,0),"")))&lt;&gt;"nao",LOWER(TRIM(IFERROR(VLOOKUP(A259,'Cadastro Geral Campistas'!$A:$R,15,0),"")))&lt;&gt;"0"),"Alergia: "&amp;IFERROR(VLOOKUP(A259,'Cadastro Geral Campistas'!$A:$R,15,0),""),""))))</f>
        <v>sim. esposo: Aires Silva | Alergia: Frutos do Mar</v>
      </c>
      <c r="J259" s="56" t="str">
        <f>IFERROR(VLOOKUP(A259,'Cadastro Geral Campistas'!$A:$R,4,0),"")</f>
        <v>F</v>
      </c>
    </row>
    <row r="260" spans="1:10" ht="18" customHeight="1" x14ac:dyDescent="0.55000000000000004">
      <c r="A260" s="57">
        <v>104</v>
      </c>
      <c r="B260" s="7" t="str">
        <f>IFERROR(VLOOKUP(A260,'Cadastro Geral Campistas'!$A:$R,2,0),"")</f>
        <v>Nara Campos Terra</v>
      </c>
      <c r="C260" s="6">
        <f>IFERROR(VLOOKUP(A260,'Cadastro Geral Campistas'!$A:$R,5,0),"")</f>
        <v>77</v>
      </c>
      <c r="D260" s="6">
        <f>IFERROR(VLOOKUP(A260,'Cadastro Geral Campistas'!$A:$R,6,0),"")</f>
        <v>1.64</v>
      </c>
      <c r="E260" s="6">
        <f>IFERROR(VLOOKUP(A260,'Cadastro Geral Campistas'!$A:$R,7,0),"")</f>
        <v>20</v>
      </c>
      <c r="F260" s="7" t="str">
        <f>IFERROR(VLOOKUP(A260,'Cadastro Geral Campistas'!$A:$R,9,0),"")</f>
        <v>Goiânia</v>
      </c>
      <c r="G260" s="6" t="str">
        <f>IFERROR(VLOOKUP(A260,'Cadastro Geral Campistas'!$A:$R,3,0),"")</f>
        <v>M</v>
      </c>
      <c r="H260" s="7" t="str">
        <f>IFERROR(VLOOKUP(A260,'Cadastro Geral Campistas'!$A:$R,8,0),"")</f>
        <v>+55 (62) 98180-1676</v>
      </c>
      <c r="I260" s="101" t="str">
        <f>IF(AND(IFERROR(VLOOKUP(A260,'Cadastro Geral Campistas'!$A:$R,18,0),0)&gt;0,COUNTIF($A$254:$A$269,IFERROR(VLOOKUP(A260,'Cadastro Geral Campistas'!$A:$R,18,0),0))&gt;0),"⚠️ CONFLITO! Cônjuge na mesma tribo: "&amp;IFERROR(VLOOKUP(IFERROR(VLOOKUP(A260,'Cadastro Geral Campistas'!$A:$R,18,0),0),'Cadastro Geral Campistas'!$A:$R,2,""),""),TRIM(IF(AND(IFERROR(VLOOKUP(A260,'Cadastro Geral Campistas'!$A:$R,10,0),"")&lt;&gt;"",LOWER(TRIM(IFERROR(VLOOKUP(A260,'Cadastro Geral Campistas'!$A:$R,10,0),"")))&lt;&gt;"não",LOWER(TRIM(IFERROR(VLOOKUP(A260,'Cadastro Geral Campistas'!$A:$R,10,0),"")))&lt;&gt;"nao",LOWER(TRIM(IFERROR(VLOOKUP(A260,'Cadastro Geral Campistas'!$A:$R,10,0),"")))&lt;&gt;"0"),IFERROR(VLOOKUP(A260,'Cadastro Geral Campistas'!$A:$R,10,0),"")&amp;IF(AND(IFERROR(VLOOKUP(A260,'Cadastro Geral Campistas'!$A:$R,15,0),"")&lt;&gt;"",LOWER(TRIM(IFERROR(VLOOKUP(A260,'Cadastro Geral Campistas'!$A:$R,15,0),"")))&lt;&gt;"não",LOWER(TRIM(IFERROR(VLOOKUP(A260,'Cadastro Geral Campistas'!$A:$R,15,0),"")))&lt;&gt;"nao",LOWER(TRIM(IFERROR(VLOOKUP(A260,'Cadastro Geral Campistas'!$A:$R,15,0),"")))&lt;&gt;"0")," | Alergia: "&amp;IFERROR(VLOOKUP(A260,'Cadastro Geral Campistas'!$A:$R,15,0),""),""),IF(AND(IFERROR(VLOOKUP(A260,'Cadastro Geral Campistas'!$A:$R,15,0),"")&lt;&gt;"",LOWER(TRIM(IFERROR(VLOOKUP(A260,'Cadastro Geral Campistas'!$A:$R,15,0),"")))&lt;&gt;"não",LOWER(TRIM(IFERROR(VLOOKUP(A260,'Cadastro Geral Campistas'!$A:$R,15,0),"")))&lt;&gt;"nao",LOWER(TRIM(IFERROR(VLOOKUP(A260,'Cadastro Geral Campistas'!$A:$R,15,0),"")))&lt;&gt;"0"),"Alergia: "&amp;IFERROR(VLOOKUP(A260,'Cadastro Geral Campistas'!$A:$R,15,0),""),""))))</f>
        <v/>
      </c>
      <c r="J260" s="58" t="str">
        <f>IFERROR(VLOOKUP(A260,'Cadastro Geral Campistas'!$A:$R,4,0),"")</f>
        <v>F</v>
      </c>
    </row>
    <row r="261" spans="1:10" ht="18" customHeight="1" x14ac:dyDescent="0.55000000000000004">
      <c r="A261" s="90">
        <v>13</v>
      </c>
      <c r="B261" s="40" t="str">
        <f>IFERROR(VLOOKUP(A261,'Cadastro Geral Campistas'!$A:$R,2,0),"")</f>
        <v>Augustinho Severino da Cruz</v>
      </c>
      <c r="C261" s="41">
        <f>IFERROR(VLOOKUP(A261,'Cadastro Geral Campistas'!$A:$R,5,0),"")</f>
        <v>84</v>
      </c>
      <c r="D261" s="41">
        <f>IFERROR(VLOOKUP(A261,'Cadastro Geral Campistas'!$A:$R,6,0),"")</f>
        <v>1.8</v>
      </c>
      <c r="E261" s="41">
        <f>IFERROR(VLOOKUP(A261,'Cadastro Geral Campistas'!$A:$R,7,0),"")</f>
        <v>60</v>
      </c>
      <c r="F261" s="40" t="str">
        <f>IFERROR(VLOOKUP(A261,'Cadastro Geral Campistas'!$A:$R,9,0),"")</f>
        <v>Paranã</v>
      </c>
      <c r="G261" s="41" t="str">
        <f>IFERROR(VLOOKUP(A261,'Cadastro Geral Campistas'!$A:$R,3,0),"")</f>
        <v>G</v>
      </c>
      <c r="H261" s="40" t="str">
        <f>IFERROR(VLOOKUP(A261,'Cadastro Geral Campistas'!$A:$R,8,0),"")</f>
        <v>+55 (63) 92844-486</v>
      </c>
      <c r="I261" s="112" t="str">
        <f>IF(AND(IFERROR(VLOOKUP(A261,'Cadastro Geral Campistas'!$A:$R,18,0),0)&gt;0,COUNTIF($A$254:$A$269,IFERROR(VLOOKUP(A261,'Cadastro Geral Campistas'!$A:$R,18,0),0))&gt;0),"⚠️ CONFLITO! Cônjuge na mesma tribo: "&amp;IFERROR(VLOOKUP(IFERROR(VLOOKUP(A261,'Cadastro Geral Campistas'!$A:$R,18,0),0),'Cadastro Geral Campistas'!$A:$R,2,""),""),TRIM(IF(AND(IFERROR(VLOOKUP(A261,'Cadastro Geral Campistas'!$A:$R,10,0),"")&lt;&gt;"",LOWER(TRIM(IFERROR(VLOOKUP(A261,'Cadastro Geral Campistas'!$A:$R,10,0),"")))&lt;&gt;"não",LOWER(TRIM(IFERROR(VLOOKUP(A261,'Cadastro Geral Campistas'!$A:$R,10,0),"")))&lt;&gt;"nao",LOWER(TRIM(IFERROR(VLOOKUP(A261,'Cadastro Geral Campistas'!$A:$R,10,0),"")))&lt;&gt;"0"),IFERROR(VLOOKUP(A261,'Cadastro Geral Campistas'!$A:$R,10,0),"")&amp;IF(AND(IFERROR(VLOOKUP(A261,'Cadastro Geral Campistas'!$A:$R,15,0),"")&lt;&gt;"",LOWER(TRIM(IFERROR(VLOOKUP(A261,'Cadastro Geral Campistas'!$A:$R,15,0),"")))&lt;&gt;"não",LOWER(TRIM(IFERROR(VLOOKUP(A261,'Cadastro Geral Campistas'!$A:$R,15,0),"")))&lt;&gt;"nao",LOWER(TRIM(IFERROR(VLOOKUP(A261,'Cadastro Geral Campistas'!$A:$R,15,0),"")))&lt;&gt;"0")," | Alergia: "&amp;IFERROR(VLOOKUP(A261,'Cadastro Geral Campistas'!$A:$R,15,0),""),""),IF(AND(IFERROR(VLOOKUP(A261,'Cadastro Geral Campistas'!$A:$R,15,0),"")&lt;&gt;"",LOWER(TRIM(IFERROR(VLOOKUP(A261,'Cadastro Geral Campistas'!$A:$R,15,0),"")))&lt;&gt;"não",LOWER(TRIM(IFERROR(VLOOKUP(A261,'Cadastro Geral Campistas'!$A:$R,15,0),"")))&lt;&gt;"nao",LOWER(TRIM(IFERROR(VLOOKUP(A261,'Cadastro Geral Campistas'!$A:$R,15,0),"")))&lt;&gt;"0"),"Alergia: "&amp;IFERROR(VLOOKUP(A261,'Cadastro Geral Campistas'!$A:$R,15,0),""),""))))</f>
        <v>sim</v>
      </c>
      <c r="J261" s="91" t="str">
        <f>IFERROR(VLOOKUP(A261,'Cadastro Geral Campistas'!$A:$R,4,0),"")</f>
        <v>M</v>
      </c>
    </row>
    <row r="262" spans="1:10" ht="18" customHeight="1" x14ac:dyDescent="0.55000000000000004">
      <c r="A262" s="57">
        <v>56</v>
      </c>
      <c r="B262" s="7" t="str">
        <f>IFERROR(VLOOKUP(A262,'Cadastro Geral Campistas'!$A:$R,2,0),"")</f>
        <v>Hélio Cananéia Miranda Junior</v>
      </c>
      <c r="C262" s="6">
        <f>IFERROR(VLOOKUP(A262,'Cadastro Geral Campistas'!$A:$R,5,0),"")</f>
        <v>67</v>
      </c>
      <c r="D262" s="6">
        <f>IFERROR(VLOOKUP(A262,'Cadastro Geral Campistas'!$A:$R,6,0),"")</f>
        <v>1.72</v>
      </c>
      <c r="E262" s="6">
        <f>IFERROR(VLOOKUP(A262,'Cadastro Geral Campistas'!$A:$R,7,0),"")</f>
        <v>39</v>
      </c>
      <c r="F262" s="7" t="str">
        <f>IFERROR(VLOOKUP(A262,'Cadastro Geral Campistas'!$A:$R,9,0),"")</f>
        <v>Goiânia</v>
      </c>
      <c r="G262" s="6" t="str">
        <f>IFERROR(VLOOKUP(A262,'Cadastro Geral Campistas'!$A:$R,3,0),"")</f>
        <v>G</v>
      </c>
      <c r="H262" s="7" t="str">
        <f>IFERROR(VLOOKUP(A262,'Cadastro Geral Campistas'!$A:$R,8,0),"")</f>
        <v>+55 (62) 98151-5621</v>
      </c>
      <c r="I262" s="101" t="str">
        <f>IF(AND(IFERROR(VLOOKUP(A262,'Cadastro Geral Campistas'!$A:$R,18,0),0)&gt;0,COUNTIF($A$254:$A$269,IFERROR(VLOOKUP(A262,'Cadastro Geral Campistas'!$A:$R,18,0),0))&gt;0),"⚠️ CONFLITO! Cônjuge na mesma tribo: "&amp;IFERROR(VLOOKUP(IFERROR(VLOOKUP(A262,'Cadastro Geral Campistas'!$A:$R,18,0),0),'Cadastro Geral Campistas'!$A:$R,2,""),""),TRIM(IF(AND(IFERROR(VLOOKUP(A262,'Cadastro Geral Campistas'!$A:$R,10,0),"")&lt;&gt;"",LOWER(TRIM(IFERROR(VLOOKUP(A262,'Cadastro Geral Campistas'!$A:$R,10,0),"")))&lt;&gt;"não",LOWER(TRIM(IFERROR(VLOOKUP(A262,'Cadastro Geral Campistas'!$A:$R,10,0),"")))&lt;&gt;"nao",LOWER(TRIM(IFERROR(VLOOKUP(A262,'Cadastro Geral Campistas'!$A:$R,10,0),"")))&lt;&gt;"0"),IFERROR(VLOOKUP(A262,'Cadastro Geral Campistas'!$A:$R,10,0),"")&amp;IF(AND(IFERROR(VLOOKUP(A262,'Cadastro Geral Campistas'!$A:$R,15,0),"")&lt;&gt;"",LOWER(TRIM(IFERROR(VLOOKUP(A262,'Cadastro Geral Campistas'!$A:$R,15,0),"")))&lt;&gt;"não",LOWER(TRIM(IFERROR(VLOOKUP(A262,'Cadastro Geral Campistas'!$A:$R,15,0),"")))&lt;&gt;"nao",LOWER(TRIM(IFERROR(VLOOKUP(A262,'Cadastro Geral Campistas'!$A:$R,15,0),"")))&lt;&gt;"0")," | Alergia: "&amp;IFERROR(VLOOKUP(A262,'Cadastro Geral Campistas'!$A:$R,15,0),""),""),IF(AND(IFERROR(VLOOKUP(A262,'Cadastro Geral Campistas'!$A:$R,15,0),"")&lt;&gt;"",LOWER(TRIM(IFERROR(VLOOKUP(A262,'Cadastro Geral Campistas'!$A:$R,15,0),"")))&lt;&gt;"não",LOWER(TRIM(IFERROR(VLOOKUP(A262,'Cadastro Geral Campistas'!$A:$R,15,0),"")))&lt;&gt;"nao",LOWER(TRIM(IFERROR(VLOOKUP(A262,'Cadastro Geral Campistas'!$A:$R,15,0),"")))&lt;&gt;"0"),"Alergia: "&amp;IFERROR(VLOOKUP(A262,'Cadastro Geral Campistas'!$A:$R,15,0),""),""))))</f>
        <v/>
      </c>
      <c r="J262" s="58" t="str">
        <f>IFERROR(VLOOKUP(A262,'Cadastro Geral Campistas'!$A:$R,4,0),"")</f>
        <v>M</v>
      </c>
    </row>
    <row r="263" spans="1:10" ht="18" customHeight="1" x14ac:dyDescent="0.55000000000000004">
      <c r="A263" s="90">
        <v>66</v>
      </c>
      <c r="B263" s="40" t="str">
        <f>IFERROR(VLOOKUP(A263,'Cadastro Geral Campistas'!$A:$R,2,0),"")</f>
        <v>João Paulo Souza</v>
      </c>
      <c r="C263" s="41">
        <f>IFERROR(VLOOKUP(A263,'Cadastro Geral Campistas'!$A:$R,5,0),"")</f>
        <v>78</v>
      </c>
      <c r="D263" s="41">
        <f>IFERROR(VLOOKUP(A263,'Cadastro Geral Campistas'!$A:$R,6,0),"")</f>
        <v>1.67</v>
      </c>
      <c r="E263" s="41">
        <f>IFERROR(VLOOKUP(A263,'Cadastro Geral Campistas'!$A:$R,7,0),"")</f>
        <v>41</v>
      </c>
      <c r="F263" s="40" t="str">
        <f>IFERROR(VLOOKUP(A263,'Cadastro Geral Campistas'!$A:$R,9,0),"")</f>
        <v>Goiânia</v>
      </c>
      <c r="G263" s="41" t="str">
        <f>IFERROR(VLOOKUP(A263,'Cadastro Geral Campistas'!$A:$R,3,0),"")</f>
        <v>M</v>
      </c>
      <c r="H263" s="40" t="str">
        <f>IFERROR(VLOOKUP(A263,'Cadastro Geral Campistas'!$A:$R,8,0),"")</f>
        <v>+55 (62) 99134-1898</v>
      </c>
      <c r="I263" s="112" t="str">
        <f>IF(AND(IFERROR(VLOOKUP(A263,'Cadastro Geral Campistas'!$A:$R,18,0),0)&gt;0,COUNTIF($A$254:$A$269,IFERROR(VLOOKUP(A263,'Cadastro Geral Campistas'!$A:$R,18,0),0))&gt;0),"⚠️ CONFLITO! Cônjuge na mesma tribo: "&amp;IFERROR(VLOOKUP(IFERROR(VLOOKUP(A263,'Cadastro Geral Campistas'!$A:$R,18,0),0),'Cadastro Geral Campistas'!$A:$R,2,""),""),TRIM(IF(AND(IFERROR(VLOOKUP(A263,'Cadastro Geral Campistas'!$A:$R,10,0),"")&lt;&gt;"",LOWER(TRIM(IFERROR(VLOOKUP(A263,'Cadastro Geral Campistas'!$A:$R,10,0),"")))&lt;&gt;"não",LOWER(TRIM(IFERROR(VLOOKUP(A263,'Cadastro Geral Campistas'!$A:$R,10,0),"")))&lt;&gt;"nao",LOWER(TRIM(IFERROR(VLOOKUP(A263,'Cadastro Geral Campistas'!$A:$R,10,0),"")))&lt;&gt;"0"),IFERROR(VLOOKUP(A263,'Cadastro Geral Campistas'!$A:$R,10,0),"")&amp;IF(AND(IFERROR(VLOOKUP(A263,'Cadastro Geral Campistas'!$A:$R,15,0),"")&lt;&gt;"",LOWER(TRIM(IFERROR(VLOOKUP(A263,'Cadastro Geral Campistas'!$A:$R,15,0),"")))&lt;&gt;"não",LOWER(TRIM(IFERROR(VLOOKUP(A263,'Cadastro Geral Campistas'!$A:$R,15,0),"")))&lt;&gt;"nao",LOWER(TRIM(IFERROR(VLOOKUP(A263,'Cadastro Geral Campistas'!$A:$R,15,0),"")))&lt;&gt;"0")," | Alergia: "&amp;IFERROR(VLOOKUP(A263,'Cadastro Geral Campistas'!$A:$R,15,0),""),""),IF(AND(IFERROR(VLOOKUP(A263,'Cadastro Geral Campistas'!$A:$R,15,0),"")&lt;&gt;"",LOWER(TRIM(IFERROR(VLOOKUP(A263,'Cadastro Geral Campistas'!$A:$R,15,0),"")))&lt;&gt;"não",LOWER(TRIM(IFERROR(VLOOKUP(A263,'Cadastro Geral Campistas'!$A:$R,15,0),"")))&lt;&gt;"nao",LOWER(TRIM(IFERROR(VLOOKUP(A263,'Cadastro Geral Campistas'!$A:$R,15,0),"")))&lt;&gt;"0"),"Alergia: "&amp;IFERROR(VLOOKUP(A263,'Cadastro Geral Campistas'!$A:$R,15,0),""),""))))</f>
        <v/>
      </c>
      <c r="J263" s="91" t="str">
        <f>IFERROR(VLOOKUP(A263,'Cadastro Geral Campistas'!$A:$R,4,0),"")</f>
        <v>M</v>
      </c>
    </row>
    <row r="264" spans="1:10" ht="18" customHeight="1" x14ac:dyDescent="0.55000000000000004">
      <c r="A264" s="57">
        <v>67</v>
      </c>
      <c r="B264" s="7" t="str">
        <f>IFERROR(VLOOKUP(A264,'Cadastro Geral Campistas'!$A:$R,2,0),"")</f>
        <v>João Victor Vieira de Pádua</v>
      </c>
      <c r="C264" s="6">
        <f>IFERROR(VLOOKUP(A264,'Cadastro Geral Campistas'!$A:$R,5,0),"")</f>
        <v>110</v>
      </c>
      <c r="D264" s="6">
        <f>IFERROR(VLOOKUP(A264,'Cadastro Geral Campistas'!$A:$R,6,0),"")</f>
        <v>1.85</v>
      </c>
      <c r="E264" s="6">
        <f>IFERROR(VLOOKUP(A264,'Cadastro Geral Campistas'!$A:$R,7,0),"")</f>
        <v>28</v>
      </c>
      <c r="F264" s="7" t="str">
        <f>IFERROR(VLOOKUP(A264,'Cadastro Geral Campistas'!$A:$R,9,0),"")</f>
        <v>Goiânia</v>
      </c>
      <c r="G264" s="6" t="str">
        <f>IFERROR(VLOOKUP(A264,'Cadastro Geral Campistas'!$A:$R,3,0),"")</f>
        <v>GG1</v>
      </c>
      <c r="H264" s="7" t="str">
        <f>IFERROR(VLOOKUP(A264,'Cadastro Geral Campistas'!$A:$R,8,0),"")</f>
        <v>+55 (52) 98215-1410</v>
      </c>
      <c r="I264" s="101" t="str">
        <f>IF(AND(IFERROR(VLOOKUP(A264,'Cadastro Geral Campistas'!$A:$R,18,0),0)&gt;0,COUNTIF($A$254:$A$269,IFERROR(VLOOKUP(A264,'Cadastro Geral Campistas'!$A:$R,18,0),0))&gt;0),"⚠️ CONFLITO! Cônjuge na mesma tribo: "&amp;IFERROR(VLOOKUP(IFERROR(VLOOKUP(A264,'Cadastro Geral Campistas'!$A:$R,18,0),0),'Cadastro Geral Campistas'!$A:$R,2,""),""),TRIM(IF(AND(IFERROR(VLOOKUP(A264,'Cadastro Geral Campistas'!$A:$R,10,0),"")&lt;&gt;"",LOWER(TRIM(IFERROR(VLOOKUP(A264,'Cadastro Geral Campistas'!$A:$R,10,0),"")))&lt;&gt;"não",LOWER(TRIM(IFERROR(VLOOKUP(A264,'Cadastro Geral Campistas'!$A:$R,10,0),"")))&lt;&gt;"nao",LOWER(TRIM(IFERROR(VLOOKUP(A264,'Cadastro Geral Campistas'!$A:$R,10,0),"")))&lt;&gt;"0"),IFERROR(VLOOKUP(A264,'Cadastro Geral Campistas'!$A:$R,10,0),"")&amp;IF(AND(IFERROR(VLOOKUP(A264,'Cadastro Geral Campistas'!$A:$R,15,0),"")&lt;&gt;"",LOWER(TRIM(IFERROR(VLOOKUP(A264,'Cadastro Geral Campistas'!$A:$R,15,0),"")))&lt;&gt;"não",LOWER(TRIM(IFERROR(VLOOKUP(A264,'Cadastro Geral Campistas'!$A:$R,15,0),"")))&lt;&gt;"nao",LOWER(TRIM(IFERROR(VLOOKUP(A264,'Cadastro Geral Campistas'!$A:$R,15,0),"")))&lt;&gt;"0")," | Alergia: "&amp;IFERROR(VLOOKUP(A264,'Cadastro Geral Campistas'!$A:$R,15,0),""),""),IF(AND(IFERROR(VLOOKUP(A264,'Cadastro Geral Campistas'!$A:$R,15,0),"")&lt;&gt;"",LOWER(TRIM(IFERROR(VLOOKUP(A264,'Cadastro Geral Campistas'!$A:$R,15,0),"")))&lt;&gt;"não",LOWER(TRIM(IFERROR(VLOOKUP(A264,'Cadastro Geral Campistas'!$A:$R,15,0),"")))&lt;&gt;"nao",LOWER(TRIM(IFERROR(VLOOKUP(A264,'Cadastro Geral Campistas'!$A:$R,15,0),"")))&lt;&gt;"0"),"Alergia: "&amp;IFERROR(VLOOKUP(A264,'Cadastro Geral Campistas'!$A:$R,15,0),""),""))))</f>
        <v/>
      </c>
      <c r="J264" s="58" t="str">
        <f>IFERROR(VLOOKUP(A264,'Cadastro Geral Campistas'!$A:$R,4,0),"")</f>
        <v>M</v>
      </c>
    </row>
    <row r="265" spans="1:10" ht="18" customHeight="1" x14ac:dyDescent="0.55000000000000004">
      <c r="A265" s="90">
        <v>77</v>
      </c>
      <c r="B265" s="40" t="str">
        <f>IFERROR(VLOOKUP(A265,'Cadastro Geral Campistas'!$A:$R,2,0),"")</f>
        <v>Leandro Rocha Ribeiro</v>
      </c>
      <c r="C265" s="41">
        <f>IFERROR(VLOOKUP(A265,'Cadastro Geral Campistas'!$A:$R,5,0),"")</f>
        <v>88</v>
      </c>
      <c r="D265" s="41">
        <f>IFERROR(VLOOKUP(A265,'Cadastro Geral Campistas'!$A:$R,6,0),"")</f>
        <v>1.78</v>
      </c>
      <c r="E265" s="41">
        <f>IFERROR(VLOOKUP(A265,'Cadastro Geral Campistas'!$A:$R,7,0),"")</f>
        <v>43</v>
      </c>
      <c r="F265" s="40" t="str">
        <f>IFERROR(VLOOKUP(A265,'Cadastro Geral Campistas'!$A:$R,9,0),"")</f>
        <v>Goiânia</v>
      </c>
      <c r="G265" s="41" t="str">
        <f>IFERROR(VLOOKUP(A265,'Cadastro Geral Campistas'!$A:$R,3,0),"")</f>
        <v>G</v>
      </c>
      <c r="H265" s="40" t="str">
        <f>IFERROR(VLOOKUP(A265,'Cadastro Geral Campistas'!$A:$R,8,0),"")</f>
        <v>+55 (62) 98445-2974</v>
      </c>
      <c r="I265" s="112" t="str">
        <f>IF(AND(IFERROR(VLOOKUP(A265,'Cadastro Geral Campistas'!$A:$R,18,0),0)&gt;0,COUNTIF($A$254:$A$269,IFERROR(VLOOKUP(A265,'Cadastro Geral Campistas'!$A:$R,18,0),0))&gt;0),"⚠️ CONFLITO! Cônjuge na mesma tribo: "&amp;IFERROR(VLOOKUP(IFERROR(VLOOKUP(A265,'Cadastro Geral Campistas'!$A:$R,18,0),0),'Cadastro Geral Campistas'!$A:$R,2,""),""),TRIM(IF(AND(IFERROR(VLOOKUP(A265,'Cadastro Geral Campistas'!$A:$R,10,0),"")&lt;&gt;"",LOWER(TRIM(IFERROR(VLOOKUP(A265,'Cadastro Geral Campistas'!$A:$R,10,0),"")))&lt;&gt;"não",LOWER(TRIM(IFERROR(VLOOKUP(A265,'Cadastro Geral Campistas'!$A:$R,10,0),"")))&lt;&gt;"nao",LOWER(TRIM(IFERROR(VLOOKUP(A265,'Cadastro Geral Campistas'!$A:$R,10,0),"")))&lt;&gt;"0"),IFERROR(VLOOKUP(A265,'Cadastro Geral Campistas'!$A:$R,10,0),"")&amp;IF(AND(IFERROR(VLOOKUP(A265,'Cadastro Geral Campistas'!$A:$R,15,0),"")&lt;&gt;"",LOWER(TRIM(IFERROR(VLOOKUP(A265,'Cadastro Geral Campistas'!$A:$R,15,0),"")))&lt;&gt;"não",LOWER(TRIM(IFERROR(VLOOKUP(A265,'Cadastro Geral Campistas'!$A:$R,15,0),"")))&lt;&gt;"nao",LOWER(TRIM(IFERROR(VLOOKUP(A265,'Cadastro Geral Campistas'!$A:$R,15,0),"")))&lt;&gt;"0")," | Alergia: "&amp;IFERROR(VLOOKUP(A265,'Cadastro Geral Campistas'!$A:$R,15,0),""),""),IF(AND(IFERROR(VLOOKUP(A265,'Cadastro Geral Campistas'!$A:$R,15,0),"")&lt;&gt;"",LOWER(TRIM(IFERROR(VLOOKUP(A265,'Cadastro Geral Campistas'!$A:$R,15,0),"")))&lt;&gt;"não",LOWER(TRIM(IFERROR(VLOOKUP(A265,'Cadastro Geral Campistas'!$A:$R,15,0),"")))&lt;&gt;"nao",LOWER(TRIM(IFERROR(VLOOKUP(A265,'Cadastro Geral Campistas'!$A:$R,15,0),"")))&lt;&gt;"0"),"Alergia: "&amp;IFERROR(VLOOKUP(A265,'Cadastro Geral Campistas'!$A:$R,15,0),""),""))))</f>
        <v>Sim Antônio (marido da Marciella)</v>
      </c>
      <c r="J265" s="91" t="str">
        <f>IFERROR(VLOOKUP(A265,'Cadastro Geral Campistas'!$A:$R,4,0),"")</f>
        <v>M</v>
      </c>
    </row>
    <row r="266" spans="1:10" ht="18" customHeight="1" x14ac:dyDescent="0.55000000000000004">
      <c r="A266" s="57">
        <v>89</v>
      </c>
      <c r="B266" s="7" t="str">
        <f>IFERROR(VLOOKUP(A266,'Cadastro Geral Campistas'!$A:$R,2,0),"")</f>
        <v>MARCELO PORTO CORTEZ BITTAR</v>
      </c>
      <c r="C266" s="6">
        <f>IFERROR(VLOOKUP(A266,'Cadastro Geral Campistas'!$A:$R,5,0),"")</f>
        <v>70</v>
      </c>
      <c r="D266" s="6">
        <f>IFERROR(VLOOKUP(A266,'Cadastro Geral Campistas'!$A:$R,6,0),"")</f>
        <v>1.71</v>
      </c>
      <c r="E266" s="6">
        <f>IFERROR(VLOOKUP(A266,'Cadastro Geral Campistas'!$A:$R,7,0),"")</f>
        <v>51</v>
      </c>
      <c r="F266" s="7" t="str">
        <f>IFERROR(VLOOKUP(A266,'Cadastro Geral Campistas'!$A:$R,9,0),"")</f>
        <v>Goiânia</v>
      </c>
      <c r="G266" s="6" t="str">
        <f>IFERROR(VLOOKUP(A266,'Cadastro Geral Campistas'!$A:$R,3,0),"")</f>
        <v>M</v>
      </c>
      <c r="H266" s="7" t="str">
        <f>IFERROR(VLOOKUP(A266,'Cadastro Geral Campistas'!$A:$R,8,0),"")</f>
        <v>+55 (62) 99927-1473</v>
      </c>
      <c r="I266" s="101" t="str">
        <f>IF(AND(IFERROR(VLOOKUP(A266,'Cadastro Geral Campistas'!$A:$R,18,0),0)&gt;0,COUNTIF($A$254:$A$269,IFERROR(VLOOKUP(A266,'Cadastro Geral Campistas'!$A:$R,18,0),0))&gt;0),"⚠️ CONFLITO! Cônjuge na mesma tribo: "&amp;IFERROR(VLOOKUP(IFERROR(VLOOKUP(A266,'Cadastro Geral Campistas'!$A:$R,18,0),0),'Cadastro Geral Campistas'!$A:$R,2,""),""),TRIM(IF(AND(IFERROR(VLOOKUP(A266,'Cadastro Geral Campistas'!$A:$R,10,0),"")&lt;&gt;"",LOWER(TRIM(IFERROR(VLOOKUP(A266,'Cadastro Geral Campistas'!$A:$R,10,0),"")))&lt;&gt;"não",LOWER(TRIM(IFERROR(VLOOKUP(A266,'Cadastro Geral Campistas'!$A:$R,10,0),"")))&lt;&gt;"nao",LOWER(TRIM(IFERROR(VLOOKUP(A266,'Cadastro Geral Campistas'!$A:$R,10,0),"")))&lt;&gt;"0"),IFERROR(VLOOKUP(A266,'Cadastro Geral Campistas'!$A:$R,10,0),"")&amp;IF(AND(IFERROR(VLOOKUP(A266,'Cadastro Geral Campistas'!$A:$R,15,0),"")&lt;&gt;"",LOWER(TRIM(IFERROR(VLOOKUP(A266,'Cadastro Geral Campistas'!$A:$R,15,0),"")))&lt;&gt;"não",LOWER(TRIM(IFERROR(VLOOKUP(A266,'Cadastro Geral Campistas'!$A:$R,15,0),"")))&lt;&gt;"nao",LOWER(TRIM(IFERROR(VLOOKUP(A266,'Cadastro Geral Campistas'!$A:$R,15,0),"")))&lt;&gt;"0")," | Alergia: "&amp;IFERROR(VLOOKUP(A266,'Cadastro Geral Campistas'!$A:$R,15,0),""),""),IF(AND(IFERROR(VLOOKUP(A266,'Cadastro Geral Campistas'!$A:$R,15,0),"")&lt;&gt;"",LOWER(TRIM(IFERROR(VLOOKUP(A266,'Cadastro Geral Campistas'!$A:$R,15,0),"")))&lt;&gt;"não",LOWER(TRIM(IFERROR(VLOOKUP(A266,'Cadastro Geral Campistas'!$A:$R,15,0),"")))&lt;&gt;"nao",LOWER(TRIM(IFERROR(VLOOKUP(A266,'Cadastro Geral Campistas'!$A:$R,15,0),"")))&lt;&gt;"0"),"Alergia: "&amp;IFERROR(VLOOKUP(A266,'Cadastro Geral Campistas'!$A:$R,15,0),""),""))))</f>
        <v/>
      </c>
      <c r="J266" s="58" t="str">
        <f>IFERROR(VLOOKUP(A266,'Cadastro Geral Campistas'!$A:$R,4,0),"")</f>
        <v>M</v>
      </c>
    </row>
    <row r="267" spans="1:10" ht="18" customHeight="1" x14ac:dyDescent="0.55000000000000004">
      <c r="A267" s="90">
        <v>135</v>
      </c>
      <c r="B267" s="40" t="str">
        <f>IFERROR(VLOOKUP(A267,'Cadastro Geral Campistas'!$A:$R,2,0),"")</f>
        <v>Victor Hugo Ribeiro Clementino</v>
      </c>
      <c r="C267" s="41">
        <f>IFERROR(VLOOKUP(A267,'Cadastro Geral Campistas'!$A:$R,5,0),"")</f>
        <v>74</v>
      </c>
      <c r="D267" s="41">
        <f>IFERROR(VLOOKUP(A267,'Cadastro Geral Campistas'!$A:$R,6,0),"")</f>
        <v>1.74</v>
      </c>
      <c r="E267" s="41">
        <f>IFERROR(VLOOKUP(A267,'Cadastro Geral Campistas'!$A:$R,7,0),"")</f>
        <v>35</v>
      </c>
      <c r="F267" s="40" t="str">
        <f>IFERROR(VLOOKUP(A267,'Cadastro Geral Campistas'!$A:$R,9,0),"")</f>
        <v>Aparecida de Goiânia</v>
      </c>
      <c r="G267" s="41" t="str">
        <f>IFERROR(VLOOKUP(A267,'Cadastro Geral Campistas'!$A:$R,3,0),"")</f>
        <v>M</v>
      </c>
      <c r="H267" s="40" t="str">
        <f>IFERROR(VLOOKUP(A267,'Cadastro Geral Campistas'!$A:$R,8,0),"")</f>
        <v>+55 (62) 99433-5038</v>
      </c>
      <c r="I267" s="112" t="str">
        <f>IF(AND(IFERROR(VLOOKUP(A267,'Cadastro Geral Campistas'!$A:$R,18,0),0)&gt;0,COUNTIF($A$254:$A$269,IFERROR(VLOOKUP(A267,'Cadastro Geral Campistas'!$A:$R,18,0),0))&gt;0),"⚠️ CONFLITO! Cônjuge na mesma tribo: "&amp;IFERROR(VLOOKUP(IFERROR(VLOOKUP(A267,'Cadastro Geral Campistas'!$A:$R,18,0),0),'Cadastro Geral Campistas'!$A:$R,2,""),""),TRIM(IF(AND(IFERROR(VLOOKUP(A267,'Cadastro Geral Campistas'!$A:$R,10,0),"")&lt;&gt;"",LOWER(TRIM(IFERROR(VLOOKUP(A267,'Cadastro Geral Campistas'!$A:$R,10,0),"")))&lt;&gt;"não",LOWER(TRIM(IFERROR(VLOOKUP(A267,'Cadastro Geral Campistas'!$A:$R,10,0),"")))&lt;&gt;"nao",LOWER(TRIM(IFERROR(VLOOKUP(A267,'Cadastro Geral Campistas'!$A:$R,10,0),"")))&lt;&gt;"0"),IFERROR(VLOOKUP(A267,'Cadastro Geral Campistas'!$A:$R,10,0),"")&amp;IF(AND(IFERROR(VLOOKUP(A267,'Cadastro Geral Campistas'!$A:$R,15,0),"")&lt;&gt;"",LOWER(TRIM(IFERROR(VLOOKUP(A267,'Cadastro Geral Campistas'!$A:$R,15,0),"")))&lt;&gt;"não",LOWER(TRIM(IFERROR(VLOOKUP(A267,'Cadastro Geral Campistas'!$A:$R,15,0),"")))&lt;&gt;"nao",LOWER(TRIM(IFERROR(VLOOKUP(A267,'Cadastro Geral Campistas'!$A:$R,15,0),"")))&lt;&gt;"0")," | Alergia: "&amp;IFERROR(VLOOKUP(A267,'Cadastro Geral Campistas'!$A:$R,15,0),""),""),IF(AND(IFERROR(VLOOKUP(A267,'Cadastro Geral Campistas'!$A:$R,15,0),"")&lt;&gt;"",LOWER(TRIM(IFERROR(VLOOKUP(A267,'Cadastro Geral Campistas'!$A:$R,15,0),"")))&lt;&gt;"não",LOWER(TRIM(IFERROR(VLOOKUP(A267,'Cadastro Geral Campistas'!$A:$R,15,0),"")))&lt;&gt;"nao",LOWER(TRIM(IFERROR(VLOOKUP(A267,'Cadastro Geral Campistas'!$A:$R,15,0),"")))&lt;&gt;"0"),"Alergia: "&amp;IFERROR(VLOOKUP(A267,'Cadastro Geral Campistas'!$A:$R,15,0),""),""))))</f>
        <v>Alergia: Picada de inseto</v>
      </c>
      <c r="J267" s="91" t="str">
        <f>IFERROR(VLOOKUP(A267,'Cadastro Geral Campistas'!$A:$R,4,0),"")</f>
        <v>M</v>
      </c>
    </row>
    <row r="268" spans="1:10" ht="18" customHeight="1" x14ac:dyDescent="0.55000000000000004">
      <c r="A268" s="57"/>
      <c r="B268" s="7" t="str">
        <f>IFERROR(VLOOKUP(A268,'Cadastro Geral Campistas'!$A:$R,2,0),"")</f>
        <v/>
      </c>
      <c r="C268" s="6" t="str">
        <f>IFERROR(VLOOKUP(A268,'Cadastro Geral Campistas'!$A:$R,5,0),"")</f>
        <v/>
      </c>
      <c r="D268" s="6" t="str">
        <f>IFERROR(VLOOKUP(A268,'Cadastro Geral Campistas'!$A:$R,6,0),"")</f>
        <v/>
      </c>
      <c r="E268" s="6" t="str">
        <f>IFERROR(VLOOKUP(A268,'Cadastro Geral Campistas'!$A:$R,7,0),"")</f>
        <v/>
      </c>
      <c r="F268" s="7" t="str">
        <f>IFERROR(VLOOKUP(A268,'Cadastro Geral Campistas'!$A:$R,9,0),"")</f>
        <v/>
      </c>
      <c r="G268" s="6" t="str">
        <f>IFERROR(VLOOKUP(A268,'Cadastro Geral Campistas'!$A:$R,3,0),"")</f>
        <v/>
      </c>
      <c r="H268" s="7" t="str">
        <f>IFERROR(VLOOKUP(A268,'Cadastro Geral Campistas'!$A:$R,8,0),"")</f>
        <v/>
      </c>
      <c r="I268" s="101" t="str">
        <f>IF(AND(IFERROR(VLOOKUP(A268,'Cadastro Geral Campistas'!$A:$R,18,0),0)&gt;0,COUNTIF($A$254:$A$269,IFERROR(VLOOKUP(A268,'Cadastro Geral Campistas'!$A:$R,18,0),0))&gt;0),"⚠️ CONFLITO! Cônjuge na mesma tribo: "&amp;IFERROR(VLOOKUP(IFERROR(VLOOKUP(A268,'Cadastro Geral Campistas'!$A:$R,18,0),0),'Cadastro Geral Campistas'!$A:$R,2,""),""),TRIM(IF(AND(IFERROR(VLOOKUP(A268,'Cadastro Geral Campistas'!$A:$R,10,0),"")&lt;&gt;"",LOWER(TRIM(IFERROR(VLOOKUP(A268,'Cadastro Geral Campistas'!$A:$R,10,0),"")))&lt;&gt;"não",LOWER(TRIM(IFERROR(VLOOKUP(A268,'Cadastro Geral Campistas'!$A:$R,10,0),"")))&lt;&gt;"nao",LOWER(TRIM(IFERROR(VLOOKUP(A268,'Cadastro Geral Campistas'!$A:$R,10,0),"")))&lt;&gt;"0"),IFERROR(VLOOKUP(A268,'Cadastro Geral Campistas'!$A:$R,10,0),"")&amp;IF(AND(IFERROR(VLOOKUP(A268,'Cadastro Geral Campistas'!$A:$R,15,0),"")&lt;&gt;"",LOWER(TRIM(IFERROR(VLOOKUP(A268,'Cadastro Geral Campistas'!$A:$R,15,0),"")))&lt;&gt;"não",LOWER(TRIM(IFERROR(VLOOKUP(A268,'Cadastro Geral Campistas'!$A:$R,15,0),"")))&lt;&gt;"nao",LOWER(TRIM(IFERROR(VLOOKUP(A268,'Cadastro Geral Campistas'!$A:$R,15,0),"")))&lt;&gt;"0")," | Alergia: "&amp;IFERROR(VLOOKUP(A268,'Cadastro Geral Campistas'!$A:$R,15,0),""),""),IF(AND(IFERROR(VLOOKUP(A268,'Cadastro Geral Campistas'!$A:$R,15,0),"")&lt;&gt;"",LOWER(TRIM(IFERROR(VLOOKUP(A268,'Cadastro Geral Campistas'!$A:$R,15,0),"")))&lt;&gt;"não",LOWER(TRIM(IFERROR(VLOOKUP(A268,'Cadastro Geral Campistas'!$A:$R,15,0),"")))&lt;&gt;"nao",LOWER(TRIM(IFERROR(VLOOKUP(A268,'Cadastro Geral Campistas'!$A:$R,15,0),"")))&lt;&gt;"0"),"Alergia: "&amp;IFERROR(VLOOKUP(A268,'Cadastro Geral Campistas'!$A:$R,15,0),""),""))))</f>
        <v/>
      </c>
      <c r="J268" s="58" t="str">
        <f>IFERROR(VLOOKUP(A268,'Cadastro Geral Campistas'!$A:$R,4,0),"")</f>
        <v/>
      </c>
    </row>
    <row r="269" spans="1:10" ht="18" customHeight="1" x14ac:dyDescent="0.55000000000000004">
      <c r="A269" s="57"/>
      <c r="B269" s="7" t="str">
        <f>IFERROR(VLOOKUP(A269,'Cadastro Geral Campistas'!$A:$R,2,0),"")</f>
        <v/>
      </c>
      <c r="C269" s="6" t="str">
        <f>IFERROR(VLOOKUP(A269,'Cadastro Geral Campistas'!$A:$R,5,0),"")</f>
        <v/>
      </c>
      <c r="D269" s="6" t="str">
        <f>IFERROR(VLOOKUP(A269,'Cadastro Geral Campistas'!$A:$R,6,0),"")</f>
        <v/>
      </c>
      <c r="E269" s="6" t="str">
        <f>IFERROR(VLOOKUP(A269,'Cadastro Geral Campistas'!$A:$R,7,0),"")</f>
        <v/>
      </c>
      <c r="F269" s="7" t="str">
        <f>IFERROR(VLOOKUP(A269,'Cadastro Geral Campistas'!$A:$R,9,0),"")</f>
        <v/>
      </c>
      <c r="G269" s="6" t="str">
        <f>IFERROR(VLOOKUP(A269,'Cadastro Geral Campistas'!$A:$R,3,0),"")</f>
        <v/>
      </c>
      <c r="H269" s="7" t="str">
        <f>IFERROR(VLOOKUP(A269,'Cadastro Geral Campistas'!$A:$R,8,0),"")</f>
        <v/>
      </c>
      <c r="I269" s="101" t="str">
        <f>IF(AND(IFERROR(VLOOKUP(A269,'Cadastro Geral Campistas'!$A:$R,18,0),0)&gt;0,COUNTIF($A$254:$A$269,IFERROR(VLOOKUP(A269,'Cadastro Geral Campistas'!$A:$R,18,0),0))&gt;0),"⚠️ CONFLITO! Cônjuge na mesma tribo: "&amp;IFERROR(VLOOKUP(IFERROR(VLOOKUP(A269,'Cadastro Geral Campistas'!$A:$R,18,0),0),'Cadastro Geral Campistas'!$A:$R,2,""),""),TRIM(IF(AND(IFERROR(VLOOKUP(A269,'Cadastro Geral Campistas'!$A:$R,10,0),"")&lt;&gt;"",LOWER(TRIM(IFERROR(VLOOKUP(A269,'Cadastro Geral Campistas'!$A:$R,10,0),"")))&lt;&gt;"não",LOWER(TRIM(IFERROR(VLOOKUP(A269,'Cadastro Geral Campistas'!$A:$R,10,0),"")))&lt;&gt;"nao",LOWER(TRIM(IFERROR(VLOOKUP(A269,'Cadastro Geral Campistas'!$A:$R,10,0),"")))&lt;&gt;"0"),IFERROR(VLOOKUP(A269,'Cadastro Geral Campistas'!$A:$R,10,0),"")&amp;IF(AND(IFERROR(VLOOKUP(A269,'Cadastro Geral Campistas'!$A:$R,15,0),"")&lt;&gt;"",LOWER(TRIM(IFERROR(VLOOKUP(A269,'Cadastro Geral Campistas'!$A:$R,15,0),"")))&lt;&gt;"não",LOWER(TRIM(IFERROR(VLOOKUP(A269,'Cadastro Geral Campistas'!$A:$R,15,0),"")))&lt;&gt;"nao",LOWER(TRIM(IFERROR(VLOOKUP(A269,'Cadastro Geral Campistas'!$A:$R,15,0),"")))&lt;&gt;"0")," | Alergia: "&amp;IFERROR(VLOOKUP(A269,'Cadastro Geral Campistas'!$A:$R,15,0),""),""),IF(AND(IFERROR(VLOOKUP(A269,'Cadastro Geral Campistas'!$A:$R,15,0),"")&lt;&gt;"",LOWER(TRIM(IFERROR(VLOOKUP(A269,'Cadastro Geral Campistas'!$A:$R,15,0),"")))&lt;&gt;"não",LOWER(TRIM(IFERROR(VLOOKUP(A269,'Cadastro Geral Campistas'!$A:$R,15,0),"")))&lt;&gt;"nao",LOWER(TRIM(IFERROR(VLOOKUP(A269,'Cadastro Geral Campistas'!$A:$R,15,0),"")))&lt;&gt;"0"),"Alergia: "&amp;IFERROR(VLOOKUP(A269,'Cadastro Geral Campistas'!$A:$R,15,0),""),""))))</f>
        <v/>
      </c>
      <c r="J269" s="58" t="str">
        <f>IFERROR(VLOOKUP(A269,'Cadastro Geral Campistas'!$A:$R,4,0),"")</f>
        <v/>
      </c>
    </row>
    <row r="270" spans="1:10" x14ac:dyDescent="0.55000000000000004">
      <c r="A270" s="61" t="s">
        <v>17</v>
      </c>
      <c r="B270" s="20"/>
      <c r="C270" s="20">
        <f>IFERROR(ROUND(AVERAGE(C254:C269),1),"")</f>
        <v>75.400000000000006</v>
      </c>
      <c r="D270" s="20"/>
      <c r="E270" s="20">
        <f>IFERROR(ROUND(AVERAGE(E254:E269),1),"")</f>
        <v>41.1</v>
      </c>
      <c r="F270" s="116"/>
      <c r="G270" s="104"/>
      <c r="H270" s="104"/>
      <c r="I270" s="126" t="str">
        <f>COUNTIF(J254:J269,"F")&amp;"  F    |    "&amp;COUNTIF(J254:J269,"M")&amp;"  M"</f>
        <v>7  F    |    7  M</v>
      </c>
      <c r="J270" s="127"/>
    </row>
    <row r="271" spans="1:10" x14ac:dyDescent="0.55000000000000004">
      <c r="A271" s="118"/>
      <c r="B271" s="119"/>
      <c r="C271" s="119"/>
      <c r="D271" s="119"/>
      <c r="E271" s="119"/>
      <c r="F271" s="119"/>
      <c r="G271" s="119"/>
      <c r="H271" s="119"/>
      <c r="I271" s="138" t="s">
        <v>18</v>
      </c>
      <c r="J271" s="131"/>
    </row>
    <row r="272" spans="1:10" x14ac:dyDescent="0.55000000000000004">
      <c r="A272" s="120"/>
      <c r="B272" s="121"/>
      <c r="C272" s="121"/>
      <c r="D272" s="121"/>
      <c r="E272" s="121"/>
      <c r="F272" s="121"/>
      <c r="G272" s="121"/>
      <c r="H272" s="121"/>
      <c r="I272" s="124" t="s">
        <v>117</v>
      </c>
      <c r="J272" s="125"/>
    </row>
    <row r="273" spans="1:10" x14ac:dyDescent="0.55000000000000004">
      <c r="A273" s="120"/>
      <c r="B273" s="121"/>
      <c r="C273" s="121"/>
      <c r="D273" s="121"/>
      <c r="E273" s="121"/>
      <c r="F273" s="121"/>
      <c r="G273" s="121"/>
      <c r="H273" s="121"/>
      <c r="I273" s="124" t="s">
        <v>118</v>
      </c>
      <c r="J273" s="125"/>
    </row>
    <row r="274" spans="1:10" x14ac:dyDescent="0.55000000000000004">
      <c r="A274" s="120"/>
      <c r="B274" s="121"/>
      <c r="C274" s="121"/>
      <c r="D274" s="121"/>
      <c r="E274" s="121"/>
      <c r="F274" s="121"/>
      <c r="G274" s="121"/>
      <c r="H274" s="121"/>
      <c r="I274" s="124" t="s">
        <v>119</v>
      </c>
      <c r="J274" s="125"/>
    </row>
    <row r="275" spans="1:10" x14ac:dyDescent="0.55000000000000004">
      <c r="A275" s="120"/>
      <c r="B275" s="121"/>
      <c r="C275" s="121"/>
      <c r="D275" s="121"/>
      <c r="E275" s="121"/>
      <c r="F275" s="121"/>
      <c r="G275" s="121"/>
      <c r="H275" s="121"/>
      <c r="I275" s="124" t="s">
        <v>120</v>
      </c>
      <c r="J275" s="125"/>
    </row>
    <row r="276" spans="1:10" x14ac:dyDescent="0.55000000000000004">
      <c r="A276" s="120"/>
      <c r="B276" s="121"/>
      <c r="C276" s="121"/>
      <c r="D276" s="121"/>
      <c r="E276" s="121"/>
      <c r="F276" s="121"/>
      <c r="G276" s="121"/>
      <c r="H276" s="121"/>
      <c r="I276" s="124" t="s">
        <v>121</v>
      </c>
      <c r="J276" s="125"/>
    </row>
    <row r="277" spans="1:10" x14ac:dyDescent="0.55000000000000004">
      <c r="A277" s="120"/>
      <c r="B277" s="121"/>
      <c r="C277" s="121"/>
      <c r="D277" s="121"/>
      <c r="E277" s="121"/>
      <c r="F277" s="121"/>
      <c r="G277" s="121"/>
      <c r="H277" s="121"/>
      <c r="I277" s="124" t="s">
        <v>122</v>
      </c>
      <c r="J277" s="125"/>
    </row>
    <row r="278" spans="1:10" x14ac:dyDescent="0.55000000000000004">
      <c r="A278" s="120"/>
      <c r="B278" s="121"/>
      <c r="C278" s="121"/>
      <c r="D278" s="121"/>
      <c r="E278" s="121"/>
      <c r="F278" s="121"/>
      <c r="G278" s="121"/>
      <c r="H278" s="121"/>
      <c r="I278" s="124" t="s">
        <v>123</v>
      </c>
      <c r="J278" s="125"/>
    </row>
    <row r="279" spans="1:10" x14ac:dyDescent="0.55000000000000004">
      <c r="A279" s="120"/>
      <c r="B279" s="121"/>
      <c r="C279" s="121"/>
      <c r="D279" s="121"/>
      <c r="E279" s="121"/>
      <c r="F279" s="121"/>
      <c r="G279" s="121"/>
      <c r="H279" s="121"/>
      <c r="I279" s="124" t="s">
        <v>124</v>
      </c>
      <c r="J279" s="125"/>
    </row>
    <row r="280" spans="1:10" ht="14.7" customHeight="1" thickBot="1" x14ac:dyDescent="0.6">
      <c r="A280" s="122"/>
      <c r="B280" s="123"/>
      <c r="C280" s="123"/>
      <c r="D280" s="123"/>
      <c r="E280" s="123"/>
      <c r="F280" s="123"/>
      <c r="G280" s="123"/>
      <c r="H280" s="123"/>
      <c r="I280" s="132" t="s">
        <v>125</v>
      </c>
      <c r="J280" s="133"/>
    </row>
    <row r="281" spans="1:10" ht="28" customHeight="1" x14ac:dyDescent="0.55000000000000004">
      <c r="A281" s="173" t="s">
        <v>126</v>
      </c>
      <c r="B281" s="136"/>
      <c r="C281" s="136"/>
      <c r="D281" s="136"/>
      <c r="E281" s="157" t="s">
        <v>127</v>
      </c>
      <c r="F281" s="136"/>
      <c r="G281" s="136"/>
      <c r="H281" s="136"/>
      <c r="I281" s="136"/>
      <c r="J281" s="144"/>
    </row>
    <row r="282" spans="1:10" x14ac:dyDescent="0.55000000000000004">
      <c r="A282" s="149" t="s">
        <v>2</v>
      </c>
      <c r="B282" s="121"/>
      <c r="C282" s="121"/>
      <c r="D282" s="121"/>
      <c r="E282" s="121"/>
      <c r="F282" s="121"/>
      <c r="G282" s="140" t="s">
        <v>3</v>
      </c>
      <c r="H282" s="121"/>
      <c r="I282" s="121"/>
      <c r="J282" s="125"/>
    </row>
    <row r="283" spans="1:10" x14ac:dyDescent="0.55000000000000004">
      <c r="A283" s="120"/>
      <c r="B283" s="121"/>
      <c r="C283" s="121"/>
      <c r="D283" s="121"/>
      <c r="E283" s="121"/>
      <c r="F283" s="121"/>
      <c r="G283" s="121"/>
      <c r="H283" s="121"/>
      <c r="I283" s="121"/>
      <c r="J283" s="125"/>
    </row>
    <row r="284" spans="1:10" x14ac:dyDescent="0.55000000000000004">
      <c r="A284" s="120"/>
      <c r="B284" s="121"/>
      <c r="C284" s="121"/>
      <c r="D284" s="121"/>
      <c r="E284" s="121"/>
      <c r="F284" s="121"/>
      <c r="G284" s="121"/>
      <c r="H284" s="121"/>
      <c r="I284" s="121"/>
      <c r="J284" s="125"/>
    </row>
    <row r="285" spans="1:10" x14ac:dyDescent="0.55000000000000004">
      <c r="A285" s="168" t="s">
        <v>128</v>
      </c>
      <c r="B285" s="121"/>
      <c r="C285" s="121"/>
      <c r="D285" s="128"/>
      <c r="E285" s="121"/>
      <c r="F285" s="121"/>
      <c r="G285" s="163" t="s">
        <v>129</v>
      </c>
      <c r="H285" s="121"/>
      <c r="I285" s="121"/>
      <c r="J285" s="125"/>
    </row>
    <row r="286" spans="1:10" x14ac:dyDescent="0.55000000000000004">
      <c r="A286" s="168" t="s">
        <v>130</v>
      </c>
      <c r="B286" s="121"/>
      <c r="C286" s="121"/>
      <c r="D286" s="121"/>
      <c r="E286" s="121"/>
      <c r="F286" s="121"/>
      <c r="G286" s="145"/>
      <c r="H286" s="121"/>
      <c r="I286" s="121"/>
      <c r="J286" s="125"/>
    </row>
    <row r="287" spans="1:10" x14ac:dyDescent="0.55000000000000004">
      <c r="A287" s="162"/>
      <c r="B287" s="129"/>
      <c r="C287" s="129"/>
      <c r="D287" s="129"/>
      <c r="E287" s="129"/>
      <c r="F287" s="129"/>
      <c r="G287" s="129"/>
      <c r="H287" s="129"/>
      <c r="I287" s="129"/>
      <c r="J287" s="146"/>
    </row>
    <row r="288" spans="1:10" x14ac:dyDescent="0.55000000000000004">
      <c r="A288" s="95" t="s">
        <v>7</v>
      </c>
      <c r="B288" s="42" t="s">
        <v>8</v>
      </c>
      <c r="C288" s="42" t="s">
        <v>9</v>
      </c>
      <c r="D288" s="42" t="s">
        <v>10</v>
      </c>
      <c r="E288" s="42" t="s">
        <v>11</v>
      </c>
      <c r="F288" s="42" t="s">
        <v>12</v>
      </c>
      <c r="G288" s="42" t="s">
        <v>13</v>
      </c>
      <c r="H288" s="42" t="s">
        <v>14</v>
      </c>
      <c r="I288" s="42" t="s">
        <v>15</v>
      </c>
      <c r="J288" s="96" t="s">
        <v>16</v>
      </c>
    </row>
    <row r="289" spans="1:10" ht="18" customHeight="1" x14ac:dyDescent="0.55000000000000004">
      <c r="A289" s="57">
        <v>6</v>
      </c>
      <c r="B289" s="7" t="str">
        <f>IFERROR(VLOOKUP(A289,'Cadastro Geral Campistas'!$A:$R,2,0),"")</f>
        <v>Ana Gabriela Borges Teixeira</v>
      </c>
      <c r="C289" s="6">
        <f>IFERROR(VLOOKUP(A289,'Cadastro Geral Campistas'!$A:$R,5,0),"")</f>
        <v>60</v>
      </c>
      <c r="D289" s="6">
        <f>IFERROR(VLOOKUP(A289,'Cadastro Geral Campistas'!$A:$R,6,0),"")</f>
        <v>1.68</v>
      </c>
      <c r="E289" s="6">
        <f>IFERROR(VLOOKUP(A289,'Cadastro Geral Campistas'!$A:$R,7,0),"")</f>
        <v>26</v>
      </c>
      <c r="F289" s="7" t="str">
        <f>IFERROR(VLOOKUP(A289,'Cadastro Geral Campistas'!$A:$R,9,0),"")</f>
        <v>Goiânia</v>
      </c>
      <c r="G289" s="6" t="str">
        <f>IFERROR(VLOOKUP(A289,'Cadastro Geral Campistas'!$A:$R,3,0),"")</f>
        <v>P</v>
      </c>
      <c r="H289" s="7" t="str">
        <f>IFERROR(VLOOKUP(A289,'Cadastro Geral Campistas'!$A:$R,8,0),"")</f>
        <v>+55 (91) 98207-7079</v>
      </c>
      <c r="I289" s="101" t="str">
        <f>IF(AND(IFERROR(VLOOKUP(A289,'Cadastro Geral Campistas'!$A:$R,18,0),0)&gt;0,COUNTIF($A$289:$A$304,IFERROR(VLOOKUP(A289,'Cadastro Geral Campistas'!$A:$R,18,0),0))&gt;0),"⚠️ CONFLITO! Cônjuge na mesma tribo: "&amp;IFERROR(VLOOKUP(IFERROR(VLOOKUP(A289,'Cadastro Geral Campistas'!$A:$R,18,0),0),'Cadastro Geral Campistas'!$A:$R,2,""),""),TRIM(IF(AND(IFERROR(VLOOKUP(A289,'Cadastro Geral Campistas'!$A:$R,10,0),"")&lt;&gt;"",LOWER(TRIM(IFERROR(VLOOKUP(A289,'Cadastro Geral Campistas'!$A:$R,10,0),"")))&lt;&gt;"não",LOWER(TRIM(IFERROR(VLOOKUP(A289,'Cadastro Geral Campistas'!$A:$R,10,0),"")))&lt;&gt;"nao",LOWER(TRIM(IFERROR(VLOOKUP(A289,'Cadastro Geral Campistas'!$A:$R,10,0),"")))&lt;&gt;"0"),IFERROR(VLOOKUP(A289,'Cadastro Geral Campistas'!$A:$R,10,0),"")&amp;IF(AND(IFERROR(VLOOKUP(A289,'Cadastro Geral Campistas'!$A:$R,15,0),"")&lt;&gt;"",LOWER(TRIM(IFERROR(VLOOKUP(A289,'Cadastro Geral Campistas'!$A:$R,15,0),"")))&lt;&gt;"não",LOWER(TRIM(IFERROR(VLOOKUP(A289,'Cadastro Geral Campistas'!$A:$R,15,0),"")))&lt;&gt;"nao",LOWER(TRIM(IFERROR(VLOOKUP(A289,'Cadastro Geral Campistas'!$A:$R,15,0),"")))&lt;&gt;"0")," | Alergia: "&amp;IFERROR(VLOOKUP(A289,'Cadastro Geral Campistas'!$A:$R,15,0),""),""),IF(AND(IFERROR(VLOOKUP(A289,'Cadastro Geral Campistas'!$A:$R,15,0),"")&lt;&gt;"",LOWER(TRIM(IFERROR(VLOOKUP(A289,'Cadastro Geral Campistas'!$A:$R,15,0),"")))&lt;&gt;"não",LOWER(TRIM(IFERROR(VLOOKUP(A289,'Cadastro Geral Campistas'!$A:$R,15,0),"")))&lt;&gt;"nao",LOWER(TRIM(IFERROR(VLOOKUP(A289,'Cadastro Geral Campistas'!$A:$R,15,0),"")))&lt;&gt;"0"),"Alergia: "&amp;IFERROR(VLOOKUP(A289,'Cadastro Geral Campistas'!$A:$R,15,0),""),""))))</f>
        <v/>
      </c>
      <c r="J289" s="58" t="str">
        <f>IFERROR(VLOOKUP(A289,'Cadastro Geral Campistas'!$A:$R,4,0),"")</f>
        <v>F</v>
      </c>
    </row>
    <row r="290" spans="1:10" ht="18" customHeight="1" x14ac:dyDescent="0.55000000000000004">
      <c r="A290" s="55">
        <v>7</v>
      </c>
      <c r="B290" s="3" t="str">
        <f>IFERROR(VLOOKUP(A290,'Cadastro Geral Campistas'!$A:$R,2,0),"")</f>
        <v>Ana Gabriela Franco Ribeiro Aguiar</v>
      </c>
      <c r="C290" s="2">
        <f>IFERROR(VLOOKUP(A290,'Cadastro Geral Campistas'!$A:$R,5,0),"")</f>
        <v>59</v>
      </c>
      <c r="D290" s="2">
        <f>IFERROR(VLOOKUP(A290,'Cadastro Geral Campistas'!$A:$R,6,0),"")</f>
        <v>1.55</v>
      </c>
      <c r="E290" s="2">
        <f>IFERROR(VLOOKUP(A290,'Cadastro Geral Campistas'!$A:$R,7,0),"")</f>
        <v>44</v>
      </c>
      <c r="F290" s="3" t="str">
        <f>IFERROR(VLOOKUP(A290,'Cadastro Geral Campistas'!$A:$R,9,0),"")</f>
        <v>Goiânia</v>
      </c>
      <c r="G290" s="2" t="str">
        <f>IFERROR(VLOOKUP(A290,'Cadastro Geral Campistas'!$A:$R,3,0),"")</f>
        <v>P</v>
      </c>
      <c r="H290" s="3" t="str">
        <f>IFERROR(VLOOKUP(A290,'Cadastro Geral Campistas'!$A:$R,8,0),"")</f>
        <v>+55 (62) 98626-6626</v>
      </c>
      <c r="I290" s="103" t="str">
        <f>IF(AND(IFERROR(VLOOKUP(A290,'Cadastro Geral Campistas'!$A:$R,18,0),0)&gt;0,COUNTIF($A$289:$A$304,IFERROR(VLOOKUP(A290,'Cadastro Geral Campistas'!$A:$R,18,0),0))&gt;0),"⚠️ CONFLITO! Cônjuge na mesma tribo: "&amp;IFERROR(VLOOKUP(IFERROR(VLOOKUP(A290,'Cadastro Geral Campistas'!$A:$R,18,0),0),'Cadastro Geral Campistas'!$A:$R,2,""),""),TRIM(IF(AND(IFERROR(VLOOKUP(A290,'Cadastro Geral Campistas'!$A:$R,10,0),"")&lt;&gt;"",LOWER(TRIM(IFERROR(VLOOKUP(A290,'Cadastro Geral Campistas'!$A:$R,10,0),"")))&lt;&gt;"não",LOWER(TRIM(IFERROR(VLOOKUP(A290,'Cadastro Geral Campistas'!$A:$R,10,0),"")))&lt;&gt;"nao",LOWER(TRIM(IFERROR(VLOOKUP(A290,'Cadastro Geral Campistas'!$A:$R,10,0),"")))&lt;&gt;"0"),IFERROR(VLOOKUP(A290,'Cadastro Geral Campistas'!$A:$R,10,0),"")&amp;IF(AND(IFERROR(VLOOKUP(A290,'Cadastro Geral Campistas'!$A:$R,15,0),"")&lt;&gt;"",LOWER(TRIM(IFERROR(VLOOKUP(A290,'Cadastro Geral Campistas'!$A:$R,15,0),"")))&lt;&gt;"não",LOWER(TRIM(IFERROR(VLOOKUP(A290,'Cadastro Geral Campistas'!$A:$R,15,0),"")))&lt;&gt;"nao",LOWER(TRIM(IFERROR(VLOOKUP(A290,'Cadastro Geral Campistas'!$A:$R,15,0),"")))&lt;&gt;"0")," | Alergia: "&amp;IFERROR(VLOOKUP(A290,'Cadastro Geral Campistas'!$A:$R,15,0),""),""),IF(AND(IFERROR(VLOOKUP(A290,'Cadastro Geral Campistas'!$A:$R,15,0),"")&lt;&gt;"",LOWER(TRIM(IFERROR(VLOOKUP(A290,'Cadastro Geral Campistas'!$A:$R,15,0),"")))&lt;&gt;"não",LOWER(TRIM(IFERROR(VLOOKUP(A290,'Cadastro Geral Campistas'!$A:$R,15,0),"")))&lt;&gt;"nao",LOWER(TRIM(IFERROR(VLOOKUP(A290,'Cadastro Geral Campistas'!$A:$R,15,0),"")))&lt;&gt;"0"),"Alergia: "&amp;IFERROR(VLOOKUP(A290,'Cadastro Geral Campistas'!$A:$R,15,0),""),""))))</f>
        <v>Alergia: Sim, abelhas</v>
      </c>
      <c r="J290" s="56" t="str">
        <f>IFERROR(VLOOKUP(A290,'Cadastro Geral Campistas'!$A:$R,4,0),"")</f>
        <v>F</v>
      </c>
    </row>
    <row r="291" spans="1:10" ht="18" customHeight="1" x14ac:dyDescent="0.55000000000000004">
      <c r="A291" s="57">
        <v>14</v>
      </c>
      <c r="B291" s="7" t="str">
        <f>IFERROR(VLOOKUP(A291,'Cadastro Geral Campistas'!$A:$R,2,0),"")</f>
        <v>Bruna Amaral Martins</v>
      </c>
      <c r="C291" s="6">
        <f>IFERROR(VLOOKUP(A291,'Cadastro Geral Campistas'!$A:$R,5,0),"")</f>
        <v>60</v>
      </c>
      <c r="D291" s="6">
        <f>IFERROR(VLOOKUP(A291,'Cadastro Geral Campistas'!$A:$R,6,0),"")</f>
        <v>1.64</v>
      </c>
      <c r="E291" s="6">
        <f>IFERROR(VLOOKUP(A291,'Cadastro Geral Campistas'!$A:$R,7,0),"")</f>
        <v>26</v>
      </c>
      <c r="F291" s="7" t="str">
        <f>IFERROR(VLOOKUP(A291,'Cadastro Geral Campistas'!$A:$R,9,0),"")</f>
        <v>Goiânia</v>
      </c>
      <c r="G291" s="6" t="str">
        <f>IFERROR(VLOOKUP(A291,'Cadastro Geral Campistas'!$A:$R,3,0),"")</f>
        <v>P</v>
      </c>
      <c r="H291" s="7" t="str">
        <f>IFERROR(VLOOKUP(A291,'Cadastro Geral Campistas'!$A:$R,8,0),"")</f>
        <v>+55 (62) 99908-1082</v>
      </c>
      <c r="I291" s="101" t="str">
        <f>IF(AND(IFERROR(VLOOKUP(A291,'Cadastro Geral Campistas'!$A:$R,18,0),0)&gt;0,COUNTIF($A$289:$A$304,IFERROR(VLOOKUP(A291,'Cadastro Geral Campistas'!$A:$R,18,0),0))&gt;0),"⚠️ CONFLITO! Cônjuge na mesma tribo: "&amp;IFERROR(VLOOKUP(IFERROR(VLOOKUP(A291,'Cadastro Geral Campistas'!$A:$R,18,0),0),'Cadastro Geral Campistas'!$A:$R,2,""),""),TRIM(IF(AND(IFERROR(VLOOKUP(A291,'Cadastro Geral Campistas'!$A:$R,10,0),"")&lt;&gt;"",LOWER(TRIM(IFERROR(VLOOKUP(A291,'Cadastro Geral Campistas'!$A:$R,10,0),"")))&lt;&gt;"não",LOWER(TRIM(IFERROR(VLOOKUP(A291,'Cadastro Geral Campistas'!$A:$R,10,0),"")))&lt;&gt;"nao",LOWER(TRIM(IFERROR(VLOOKUP(A291,'Cadastro Geral Campistas'!$A:$R,10,0),"")))&lt;&gt;"0"),IFERROR(VLOOKUP(A291,'Cadastro Geral Campistas'!$A:$R,10,0),"")&amp;IF(AND(IFERROR(VLOOKUP(A291,'Cadastro Geral Campistas'!$A:$R,15,0),"")&lt;&gt;"",LOWER(TRIM(IFERROR(VLOOKUP(A291,'Cadastro Geral Campistas'!$A:$R,15,0),"")))&lt;&gt;"não",LOWER(TRIM(IFERROR(VLOOKUP(A291,'Cadastro Geral Campistas'!$A:$R,15,0),"")))&lt;&gt;"nao",LOWER(TRIM(IFERROR(VLOOKUP(A291,'Cadastro Geral Campistas'!$A:$R,15,0),"")))&lt;&gt;"0")," | Alergia: "&amp;IFERROR(VLOOKUP(A291,'Cadastro Geral Campistas'!$A:$R,15,0),""),""),IF(AND(IFERROR(VLOOKUP(A291,'Cadastro Geral Campistas'!$A:$R,15,0),"")&lt;&gt;"",LOWER(TRIM(IFERROR(VLOOKUP(A291,'Cadastro Geral Campistas'!$A:$R,15,0),"")))&lt;&gt;"não",LOWER(TRIM(IFERROR(VLOOKUP(A291,'Cadastro Geral Campistas'!$A:$R,15,0),"")))&lt;&gt;"nao",LOWER(TRIM(IFERROR(VLOOKUP(A291,'Cadastro Geral Campistas'!$A:$R,15,0),"")))&lt;&gt;"0"),"Alergia: "&amp;IFERROR(VLOOKUP(A291,'Cadastro Geral Campistas'!$A:$R,15,0),""),""))))</f>
        <v>Eliane Martins Nunes (mãe)</v>
      </c>
      <c r="J291" s="58" t="str">
        <f>IFERROR(VLOOKUP(A291,'Cadastro Geral Campistas'!$A:$R,4,0),"")</f>
        <v>F</v>
      </c>
    </row>
    <row r="292" spans="1:10" ht="18" customHeight="1" x14ac:dyDescent="0.55000000000000004">
      <c r="A292" s="97">
        <v>47</v>
      </c>
      <c r="B292" s="43" t="str">
        <f>IFERROR(VLOOKUP(A292,'Cadastro Geral Campistas'!$A:$R,2,0),"")</f>
        <v>Flávia de Faria</v>
      </c>
      <c r="C292" s="44">
        <f>IFERROR(VLOOKUP(A292,'Cadastro Geral Campistas'!$A:$R,5,0),"")</f>
        <v>72</v>
      </c>
      <c r="D292" s="44">
        <f>IFERROR(VLOOKUP(A292,'Cadastro Geral Campistas'!$A:$R,6,0),"")</f>
        <v>1.64</v>
      </c>
      <c r="E292" s="44">
        <f>IFERROR(VLOOKUP(A292,'Cadastro Geral Campistas'!$A:$R,7,0),"")</f>
        <v>48</v>
      </c>
      <c r="F292" s="43" t="str">
        <f>IFERROR(VLOOKUP(A292,'Cadastro Geral Campistas'!$A:$R,9,0),"")</f>
        <v>Silvânia</v>
      </c>
      <c r="G292" s="44" t="str">
        <f>IFERROR(VLOOKUP(A292,'Cadastro Geral Campistas'!$A:$R,3,0),"")</f>
        <v>M</v>
      </c>
      <c r="H292" s="43" t="str">
        <f>IFERROR(VLOOKUP(A292,'Cadastro Geral Campistas'!$A:$R,8,0),"")</f>
        <v>+55 (62) 99995-3602</v>
      </c>
      <c r="I292" s="113" t="str">
        <f>IF(AND(IFERROR(VLOOKUP(A292,'Cadastro Geral Campistas'!$A:$R,18,0),0)&gt;0,COUNTIF($A$289:$A$304,IFERROR(VLOOKUP(A292,'Cadastro Geral Campistas'!$A:$R,18,0),0))&gt;0),"⚠️ CONFLITO! Cônjuge na mesma tribo: "&amp;IFERROR(VLOOKUP(IFERROR(VLOOKUP(A292,'Cadastro Geral Campistas'!$A:$R,18,0),0),'Cadastro Geral Campistas'!$A:$R,2,""),""),TRIM(IF(AND(IFERROR(VLOOKUP(A292,'Cadastro Geral Campistas'!$A:$R,10,0),"")&lt;&gt;"",LOWER(TRIM(IFERROR(VLOOKUP(A292,'Cadastro Geral Campistas'!$A:$R,10,0),"")))&lt;&gt;"não",LOWER(TRIM(IFERROR(VLOOKUP(A292,'Cadastro Geral Campistas'!$A:$R,10,0),"")))&lt;&gt;"nao",LOWER(TRIM(IFERROR(VLOOKUP(A292,'Cadastro Geral Campistas'!$A:$R,10,0),"")))&lt;&gt;"0"),IFERROR(VLOOKUP(A292,'Cadastro Geral Campistas'!$A:$R,10,0),"")&amp;IF(AND(IFERROR(VLOOKUP(A292,'Cadastro Geral Campistas'!$A:$R,15,0),"")&lt;&gt;"",LOWER(TRIM(IFERROR(VLOOKUP(A292,'Cadastro Geral Campistas'!$A:$R,15,0),"")))&lt;&gt;"não",LOWER(TRIM(IFERROR(VLOOKUP(A292,'Cadastro Geral Campistas'!$A:$R,15,0),"")))&lt;&gt;"nao",LOWER(TRIM(IFERROR(VLOOKUP(A292,'Cadastro Geral Campistas'!$A:$R,15,0),"")))&lt;&gt;"0")," | Alergia: "&amp;IFERROR(VLOOKUP(A292,'Cadastro Geral Campistas'!$A:$R,15,0),""),""),IF(AND(IFERROR(VLOOKUP(A292,'Cadastro Geral Campistas'!$A:$R,15,0),"")&lt;&gt;"",LOWER(TRIM(IFERROR(VLOOKUP(A292,'Cadastro Geral Campistas'!$A:$R,15,0),"")))&lt;&gt;"não",LOWER(TRIM(IFERROR(VLOOKUP(A292,'Cadastro Geral Campistas'!$A:$R,15,0),"")))&lt;&gt;"nao",LOWER(TRIM(IFERROR(VLOOKUP(A292,'Cadastro Geral Campistas'!$A:$R,15,0),"")))&lt;&gt;"0"),"Alergia: "&amp;IFERROR(VLOOKUP(A292,'Cadastro Geral Campistas'!$A:$R,15,0),""),""))))</f>
        <v>Eunita, Laura,</v>
      </c>
      <c r="J292" s="98" t="str">
        <f>IFERROR(VLOOKUP(A292,'Cadastro Geral Campistas'!$A:$R,4,0),"")</f>
        <v>F</v>
      </c>
    </row>
    <row r="293" spans="1:10" ht="18" customHeight="1" x14ac:dyDescent="0.55000000000000004">
      <c r="A293" s="57">
        <v>62</v>
      </c>
      <c r="B293" s="7" t="str">
        <f>IFERROR(VLOOKUP(A293,'Cadastro Geral Campistas'!$A:$R,2,0),"")</f>
        <v>JOYCE CARNEIRO NAVES DE LIMA</v>
      </c>
      <c r="C293" s="6">
        <f>IFERROR(VLOOKUP(A293,'Cadastro Geral Campistas'!$A:$R,5,0),"")</f>
        <v>67</v>
      </c>
      <c r="D293" s="6">
        <f>IFERROR(VLOOKUP(A293,'Cadastro Geral Campistas'!$A:$R,6,0),"")</f>
        <v>1.71</v>
      </c>
      <c r="E293" s="6">
        <f>IFERROR(VLOOKUP(A293,'Cadastro Geral Campistas'!$A:$R,7,0),"")</f>
        <v>53</v>
      </c>
      <c r="F293" s="7" t="str">
        <f>IFERROR(VLOOKUP(A293,'Cadastro Geral Campistas'!$A:$R,9,0),"")</f>
        <v>Goiânia</v>
      </c>
      <c r="G293" s="6" t="str">
        <f>IFERROR(VLOOKUP(A293,'Cadastro Geral Campistas'!$A:$R,3,0),"")</f>
        <v>M</v>
      </c>
      <c r="H293" s="7" t="str">
        <f>IFERROR(VLOOKUP(A293,'Cadastro Geral Campistas'!$A:$R,8,0),"")</f>
        <v>+55 (62) 99226-0926</v>
      </c>
      <c r="I293" s="101" t="str">
        <f>IF(AND(IFERROR(VLOOKUP(A293,'Cadastro Geral Campistas'!$A:$R,18,0),0)&gt;0,COUNTIF($A$289:$A$304,IFERROR(VLOOKUP(A293,'Cadastro Geral Campistas'!$A:$R,18,0),0))&gt;0),"⚠️ CONFLITO! Cônjuge na mesma tribo: "&amp;IFERROR(VLOOKUP(IFERROR(VLOOKUP(A293,'Cadastro Geral Campistas'!$A:$R,18,0),0),'Cadastro Geral Campistas'!$A:$R,2,""),""),TRIM(IF(AND(IFERROR(VLOOKUP(A293,'Cadastro Geral Campistas'!$A:$R,10,0),"")&lt;&gt;"",LOWER(TRIM(IFERROR(VLOOKUP(A293,'Cadastro Geral Campistas'!$A:$R,10,0),"")))&lt;&gt;"não",LOWER(TRIM(IFERROR(VLOOKUP(A293,'Cadastro Geral Campistas'!$A:$R,10,0),"")))&lt;&gt;"nao",LOWER(TRIM(IFERROR(VLOOKUP(A293,'Cadastro Geral Campistas'!$A:$R,10,0),"")))&lt;&gt;"0"),IFERROR(VLOOKUP(A293,'Cadastro Geral Campistas'!$A:$R,10,0),"")&amp;IF(AND(IFERROR(VLOOKUP(A293,'Cadastro Geral Campistas'!$A:$R,15,0),"")&lt;&gt;"",LOWER(TRIM(IFERROR(VLOOKUP(A293,'Cadastro Geral Campistas'!$A:$R,15,0),"")))&lt;&gt;"não",LOWER(TRIM(IFERROR(VLOOKUP(A293,'Cadastro Geral Campistas'!$A:$R,15,0),"")))&lt;&gt;"nao",LOWER(TRIM(IFERROR(VLOOKUP(A293,'Cadastro Geral Campistas'!$A:$R,15,0),"")))&lt;&gt;"0")," | Alergia: "&amp;IFERROR(VLOOKUP(A293,'Cadastro Geral Campistas'!$A:$R,15,0),""),""),IF(AND(IFERROR(VLOOKUP(A293,'Cadastro Geral Campistas'!$A:$R,15,0),"")&lt;&gt;"",LOWER(TRIM(IFERROR(VLOOKUP(A293,'Cadastro Geral Campistas'!$A:$R,15,0),"")))&lt;&gt;"não",LOWER(TRIM(IFERROR(VLOOKUP(A293,'Cadastro Geral Campistas'!$A:$R,15,0),"")))&lt;&gt;"nao",LOWER(TRIM(IFERROR(VLOOKUP(A293,'Cadastro Geral Campistas'!$A:$R,15,0),"")))&lt;&gt;"0"),"Alergia: "&amp;IFERROR(VLOOKUP(A293,'Cadastro Geral Campistas'!$A:$R,15,0),""),""))))</f>
        <v>Ivone e Ana Gabriela</v>
      </c>
      <c r="J293" s="58" t="str">
        <f>IFERROR(VLOOKUP(A293,'Cadastro Geral Campistas'!$A:$R,4,0),"")</f>
        <v>F</v>
      </c>
    </row>
    <row r="294" spans="1:10" ht="18" customHeight="1" x14ac:dyDescent="0.55000000000000004">
      <c r="A294" s="97">
        <v>96</v>
      </c>
      <c r="B294" s="43" t="str">
        <f>IFERROR(VLOOKUP(A294,'Cadastro Geral Campistas'!$A:$R,2,0),"")</f>
        <v>Maria Clara Silva Scarpa</v>
      </c>
      <c r="C294" s="44">
        <f>IFERROR(VLOOKUP(A294,'Cadastro Geral Campistas'!$A:$R,5,0),"")</f>
        <v>72</v>
      </c>
      <c r="D294" s="44">
        <f>IFERROR(VLOOKUP(A294,'Cadastro Geral Campistas'!$A:$R,6,0),"")</f>
        <v>1.67</v>
      </c>
      <c r="E294" s="44">
        <f>IFERROR(VLOOKUP(A294,'Cadastro Geral Campistas'!$A:$R,7,0),"")</f>
        <v>27</v>
      </c>
      <c r="F294" s="43" t="str">
        <f>IFERROR(VLOOKUP(A294,'Cadastro Geral Campistas'!$A:$R,9,0),"")</f>
        <v>Goiania</v>
      </c>
      <c r="G294" s="44" t="str">
        <f>IFERROR(VLOOKUP(A294,'Cadastro Geral Campistas'!$A:$R,3,0),"")</f>
        <v>M</v>
      </c>
      <c r="H294" s="43" t="str">
        <f>IFERROR(VLOOKUP(A294,'Cadastro Geral Campistas'!$A:$R,8,0),"")</f>
        <v>+55 (62) 98183-0324</v>
      </c>
      <c r="I294" s="113" t="str">
        <f>IF(AND(IFERROR(VLOOKUP(A294,'Cadastro Geral Campistas'!$A:$R,18,0),0)&gt;0,COUNTIF($A$289:$A$304,IFERROR(VLOOKUP(A294,'Cadastro Geral Campistas'!$A:$R,18,0),0))&gt;0),"⚠️ CONFLITO! Cônjuge na mesma tribo: "&amp;IFERROR(VLOOKUP(IFERROR(VLOOKUP(A294,'Cadastro Geral Campistas'!$A:$R,18,0),0),'Cadastro Geral Campistas'!$A:$R,2,""),""),TRIM(IF(AND(IFERROR(VLOOKUP(A294,'Cadastro Geral Campistas'!$A:$R,10,0),"")&lt;&gt;"",LOWER(TRIM(IFERROR(VLOOKUP(A294,'Cadastro Geral Campistas'!$A:$R,10,0),"")))&lt;&gt;"não",LOWER(TRIM(IFERROR(VLOOKUP(A294,'Cadastro Geral Campistas'!$A:$R,10,0),"")))&lt;&gt;"nao",LOWER(TRIM(IFERROR(VLOOKUP(A294,'Cadastro Geral Campistas'!$A:$R,10,0),"")))&lt;&gt;"0"),IFERROR(VLOOKUP(A294,'Cadastro Geral Campistas'!$A:$R,10,0),"")&amp;IF(AND(IFERROR(VLOOKUP(A294,'Cadastro Geral Campistas'!$A:$R,15,0),"")&lt;&gt;"",LOWER(TRIM(IFERROR(VLOOKUP(A294,'Cadastro Geral Campistas'!$A:$R,15,0),"")))&lt;&gt;"não",LOWER(TRIM(IFERROR(VLOOKUP(A294,'Cadastro Geral Campistas'!$A:$R,15,0),"")))&lt;&gt;"nao",LOWER(TRIM(IFERROR(VLOOKUP(A294,'Cadastro Geral Campistas'!$A:$R,15,0),"")))&lt;&gt;"0")," | Alergia: "&amp;IFERROR(VLOOKUP(A294,'Cadastro Geral Campistas'!$A:$R,15,0),""),""),IF(AND(IFERROR(VLOOKUP(A294,'Cadastro Geral Campistas'!$A:$R,15,0),"")&lt;&gt;"",LOWER(TRIM(IFERROR(VLOOKUP(A294,'Cadastro Geral Campistas'!$A:$R,15,0),"")))&lt;&gt;"não",LOWER(TRIM(IFERROR(VLOOKUP(A294,'Cadastro Geral Campistas'!$A:$R,15,0),"")))&lt;&gt;"nao",LOWER(TRIM(IFERROR(VLOOKUP(A294,'Cadastro Geral Campistas'!$A:$R,15,0),"")))&lt;&gt;"0"),"Alergia: "&amp;IFERROR(VLOOKUP(A294,'Cadastro Geral Campistas'!$A:$R,15,0),""),""))))</f>
        <v>Cunhado - Thiago Machado dos Santos</v>
      </c>
      <c r="J294" s="98" t="str">
        <f>IFERROR(VLOOKUP(A294,'Cadastro Geral Campistas'!$A:$R,4,0),"")</f>
        <v>F</v>
      </c>
    </row>
    <row r="295" spans="1:10" ht="18" customHeight="1" x14ac:dyDescent="0.55000000000000004">
      <c r="A295" s="55">
        <v>105</v>
      </c>
      <c r="B295" s="3" t="str">
        <f>IFERROR(VLOOKUP(A295,'Cadastro Geral Campistas'!$A:$R,2,0),"")</f>
        <v>Natalia de Vasconcelos Saraiva</v>
      </c>
      <c r="C295" s="2">
        <f>IFERROR(VLOOKUP(A295,'Cadastro Geral Campistas'!$A:$R,5,0),"")</f>
        <v>95</v>
      </c>
      <c r="D295" s="2">
        <f>IFERROR(VLOOKUP(A295,'Cadastro Geral Campistas'!$A:$R,6,0),"")</f>
        <v>1.63</v>
      </c>
      <c r="E295" s="2">
        <f>IFERROR(VLOOKUP(A295,'Cadastro Geral Campistas'!$A:$R,7,0),"")</f>
        <v>33</v>
      </c>
      <c r="F295" s="3" t="str">
        <f>IFERROR(VLOOKUP(A295,'Cadastro Geral Campistas'!$A:$R,9,0),"")</f>
        <v>goianira</v>
      </c>
      <c r="G295" s="2" t="str">
        <f>IFERROR(VLOOKUP(A295,'Cadastro Geral Campistas'!$A:$R,3,0),"")</f>
        <v>G</v>
      </c>
      <c r="H295" s="3" t="str">
        <f>IFERROR(VLOOKUP(A295,'Cadastro Geral Campistas'!$A:$R,8,0),"")</f>
        <v>+55 (62) 99325-2912</v>
      </c>
      <c r="I295" s="103" t="str">
        <f>IF(AND(IFERROR(VLOOKUP(A295,'Cadastro Geral Campistas'!$A:$R,18,0),0)&gt;0,COUNTIF($A$289:$A$304,IFERROR(VLOOKUP(A295,'Cadastro Geral Campistas'!$A:$R,18,0),0))&gt;0),"⚠️ CONFLITO! Cônjuge na mesma tribo: "&amp;IFERROR(VLOOKUP(IFERROR(VLOOKUP(A295,'Cadastro Geral Campistas'!$A:$R,18,0),0),'Cadastro Geral Campistas'!$A:$R,2,""),""),TRIM(IF(AND(IFERROR(VLOOKUP(A295,'Cadastro Geral Campistas'!$A:$R,10,0),"")&lt;&gt;"",LOWER(TRIM(IFERROR(VLOOKUP(A295,'Cadastro Geral Campistas'!$A:$R,10,0),"")))&lt;&gt;"não",LOWER(TRIM(IFERROR(VLOOKUP(A295,'Cadastro Geral Campistas'!$A:$R,10,0),"")))&lt;&gt;"nao",LOWER(TRIM(IFERROR(VLOOKUP(A295,'Cadastro Geral Campistas'!$A:$R,10,0),"")))&lt;&gt;"0"),IFERROR(VLOOKUP(A295,'Cadastro Geral Campistas'!$A:$R,10,0),"")&amp;IF(AND(IFERROR(VLOOKUP(A295,'Cadastro Geral Campistas'!$A:$R,15,0),"")&lt;&gt;"",LOWER(TRIM(IFERROR(VLOOKUP(A295,'Cadastro Geral Campistas'!$A:$R,15,0),"")))&lt;&gt;"não",LOWER(TRIM(IFERROR(VLOOKUP(A295,'Cadastro Geral Campistas'!$A:$R,15,0),"")))&lt;&gt;"nao",LOWER(TRIM(IFERROR(VLOOKUP(A295,'Cadastro Geral Campistas'!$A:$R,15,0),"")))&lt;&gt;"0")," | Alergia: "&amp;IFERROR(VLOOKUP(A295,'Cadastro Geral Campistas'!$A:$R,15,0),""),""),IF(AND(IFERROR(VLOOKUP(A295,'Cadastro Geral Campistas'!$A:$R,15,0),"")&lt;&gt;"",LOWER(TRIM(IFERROR(VLOOKUP(A295,'Cadastro Geral Campistas'!$A:$R,15,0),"")))&lt;&gt;"não",LOWER(TRIM(IFERROR(VLOOKUP(A295,'Cadastro Geral Campistas'!$A:$R,15,0),"")))&lt;&gt;"nao",LOWER(TRIM(IFERROR(VLOOKUP(A295,'Cadastro Geral Campistas'!$A:$R,15,0),"")))&lt;&gt;"0"),"Alergia: "&amp;IFERROR(VLOOKUP(A295,'Cadastro Geral Campistas'!$A:$R,15,0),""),""))))</f>
        <v>Alergia: Vonal - remédio para enjôo</v>
      </c>
      <c r="J295" s="56" t="str">
        <f>IFERROR(VLOOKUP(A295,'Cadastro Geral Campistas'!$A:$R,4,0),"")</f>
        <v>F</v>
      </c>
    </row>
    <row r="296" spans="1:10" ht="18" customHeight="1" x14ac:dyDescent="0.55000000000000004">
      <c r="A296" s="55">
        <v>26</v>
      </c>
      <c r="B296" s="3" t="str">
        <f>IFERROR(VLOOKUP(A296,'Cadastro Geral Campistas'!$A:$R,2,0),"")</f>
        <v>CIRILO DE JESUS SOARES</v>
      </c>
      <c r="C296" s="2">
        <f>IFERROR(VLOOKUP(A296,'Cadastro Geral Campistas'!$A:$R,5,0),"")</f>
        <v>95</v>
      </c>
      <c r="D296" s="2">
        <f>IFERROR(VLOOKUP(A296,'Cadastro Geral Campistas'!$A:$R,6,0),"")</f>
        <v>1.75</v>
      </c>
      <c r="E296" s="2">
        <f>IFERROR(VLOOKUP(A296,'Cadastro Geral Campistas'!$A:$R,7,0),"")</f>
        <v>46</v>
      </c>
      <c r="F296" s="3" t="str">
        <f>IFERROR(VLOOKUP(A296,'Cadastro Geral Campistas'!$A:$R,9,0),"")</f>
        <v>Goiânia</v>
      </c>
      <c r="G296" s="2" t="str">
        <f>IFERROR(VLOOKUP(A296,'Cadastro Geral Campistas'!$A:$R,3,0),"")</f>
        <v>G</v>
      </c>
      <c r="H296" s="3" t="str">
        <f>IFERROR(VLOOKUP(A296,'Cadastro Geral Campistas'!$A:$R,8,0),"")</f>
        <v>+55 (62) 99922-2008</v>
      </c>
      <c r="I296" s="103" t="str">
        <f>IF(AND(IFERROR(VLOOKUP(A296,'Cadastro Geral Campistas'!$A:$R,18,0),0)&gt;0,COUNTIF($A$289:$A$304,IFERROR(VLOOKUP(A296,'Cadastro Geral Campistas'!$A:$R,18,0),0))&gt;0),"⚠️ CONFLITO! Cônjuge na mesma tribo: "&amp;IFERROR(VLOOKUP(IFERROR(VLOOKUP(A296,'Cadastro Geral Campistas'!$A:$R,18,0),0),'Cadastro Geral Campistas'!$A:$R,2,""),""),TRIM(IF(AND(IFERROR(VLOOKUP(A296,'Cadastro Geral Campistas'!$A:$R,10,0),"")&lt;&gt;"",LOWER(TRIM(IFERROR(VLOOKUP(A296,'Cadastro Geral Campistas'!$A:$R,10,0),"")))&lt;&gt;"não",LOWER(TRIM(IFERROR(VLOOKUP(A296,'Cadastro Geral Campistas'!$A:$R,10,0),"")))&lt;&gt;"nao",LOWER(TRIM(IFERROR(VLOOKUP(A296,'Cadastro Geral Campistas'!$A:$R,10,0),"")))&lt;&gt;"0"),IFERROR(VLOOKUP(A296,'Cadastro Geral Campistas'!$A:$R,10,0),"")&amp;IF(AND(IFERROR(VLOOKUP(A296,'Cadastro Geral Campistas'!$A:$R,15,0),"")&lt;&gt;"",LOWER(TRIM(IFERROR(VLOOKUP(A296,'Cadastro Geral Campistas'!$A:$R,15,0),"")))&lt;&gt;"não",LOWER(TRIM(IFERROR(VLOOKUP(A296,'Cadastro Geral Campistas'!$A:$R,15,0),"")))&lt;&gt;"nao",LOWER(TRIM(IFERROR(VLOOKUP(A296,'Cadastro Geral Campistas'!$A:$R,15,0),"")))&lt;&gt;"0")," | Alergia: "&amp;IFERROR(VLOOKUP(A296,'Cadastro Geral Campistas'!$A:$R,15,0),""),""),IF(AND(IFERROR(VLOOKUP(A296,'Cadastro Geral Campistas'!$A:$R,15,0),"")&lt;&gt;"",LOWER(TRIM(IFERROR(VLOOKUP(A296,'Cadastro Geral Campistas'!$A:$R,15,0),"")))&lt;&gt;"não",LOWER(TRIM(IFERROR(VLOOKUP(A296,'Cadastro Geral Campistas'!$A:$R,15,0),"")))&lt;&gt;"nao",LOWER(TRIM(IFERROR(VLOOKUP(A296,'Cadastro Geral Campistas'!$A:$R,15,0),"")))&lt;&gt;"0"),"Alergia: "&amp;IFERROR(VLOOKUP(A296,'Cadastro Geral Campistas'!$A:$R,15,0),""),""))))</f>
        <v>Luciana Costa de Oliveira Soares</v>
      </c>
      <c r="J296" s="56" t="str">
        <f>IFERROR(VLOOKUP(A296,'Cadastro Geral Campistas'!$A:$R,4,0),"")</f>
        <v>M</v>
      </c>
    </row>
    <row r="297" spans="1:10" ht="18" customHeight="1" x14ac:dyDescent="0.55000000000000004">
      <c r="A297" s="55">
        <v>40</v>
      </c>
      <c r="B297" s="3" t="str">
        <f>IFERROR(VLOOKUP(A297,'Cadastro Geral Campistas'!$A:$R,2,0),"")</f>
        <v>Fabiano Pereira Baptista</v>
      </c>
      <c r="C297" s="2">
        <f>IFERROR(VLOOKUP(A297,'Cadastro Geral Campistas'!$A:$R,5,0),"")</f>
        <v>80</v>
      </c>
      <c r="D297" s="2">
        <f>IFERROR(VLOOKUP(A297,'Cadastro Geral Campistas'!$A:$R,6,0),"")</f>
        <v>1.69</v>
      </c>
      <c r="E297" s="2">
        <f>IFERROR(VLOOKUP(A297,'Cadastro Geral Campistas'!$A:$R,7,0),"")</f>
        <v>53</v>
      </c>
      <c r="F297" s="3" t="str">
        <f>IFERROR(VLOOKUP(A297,'Cadastro Geral Campistas'!$A:$R,9,0),"")</f>
        <v>Goiânia</v>
      </c>
      <c r="G297" s="2" t="str">
        <f>IFERROR(VLOOKUP(A297,'Cadastro Geral Campistas'!$A:$R,3,0),"")</f>
        <v>M</v>
      </c>
      <c r="H297" s="3" t="str">
        <f>IFERROR(VLOOKUP(A297,'Cadastro Geral Campistas'!$A:$R,8,0),"")</f>
        <v>+55 (62) 99973-3017</v>
      </c>
      <c r="I297" s="103" t="str">
        <f>IF(AND(IFERROR(VLOOKUP(A297,'Cadastro Geral Campistas'!$A:$R,18,0),0)&gt;0,COUNTIF($A$289:$A$304,IFERROR(VLOOKUP(A297,'Cadastro Geral Campistas'!$A:$R,18,0),0))&gt;0),"⚠️ CONFLITO! Cônjuge na mesma tribo: "&amp;IFERROR(VLOOKUP(IFERROR(VLOOKUP(A297,'Cadastro Geral Campistas'!$A:$R,18,0),0),'Cadastro Geral Campistas'!$A:$R,2,""),""),TRIM(IF(AND(IFERROR(VLOOKUP(A297,'Cadastro Geral Campistas'!$A:$R,10,0),"")&lt;&gt;"",LOWER(TRIM(IFERROR(VLOOKUP(A297,'Cadastro Geral Campistas'!$A:$R,10,0),"")))&lt;&gt;"não",LOWER(TRIM(IFERROR(VLOOKUP(A297,'Cadastro Geral Campistas'!$A:$R,10,0),"")))&lt;&gt;"nao",LOWER(TRIM(IFERROR(VLOOKUP(A297,'Cadastro Geral Campistas'!$A:$R,10,0),"")))&lt;&gt;"0"),IFERROR(VLOOKUP(A297,'Cadastro Geral Campistas'!$A:$R,10,0),"")&amp;IF(AND(IFERROR(VLOOKUP(A297,'Cadastro Geral Campistas'!$A:$R,15,0),"")&lt;&gt;"",LOWER(TRIM(IFERROR(VLOOKUP(A297,'Cadastro Geral Campistas'!$A:$R,15,0),"")))&lt;&gt;"não",LOWER(TRIM(IFERROR(VLOOKUP(A297,'Cadastro Geral Campistas'!$A:$R,15,0),"")))&lt;&gt;"nao",LOWER(TRIM(IFERROR(VLOOKUP(A297,'Cadastro Geral Campistas'!$A:$R,15,0),"")))&lt;&gt;"0")," | Alergia: "&amp;IFERROR(VLOOKUP(A297,'Cadastro Geral Campistas'!$A:$R,15,0),""),""),IF(AND(IFERROR(VLOOKUP(A297,'Cadastro Geral Campistas'!$A:$R,15,0),"")&lt;&gt;"",LOWER(TRIM(IFERROR(VLOOKUP(A297,'Cadastro Geral Campistas'!$A:$R,15,0),"")))&lt;&gt;"não",LOWER(TRIM(IFERROR(VLOOKUP(A297,'Cadastro Geral Campistas'!$A:$R,15,0),"")))&lt;&gt;"nao",LOWER(TRIM(IFERROR(VLOOKUP(A297,'Cadastro Geral Campistas'!$A:$R,15,0),"")))&lt;&gt;"0"),"Alergia: "&amp;IFERROR(VLOOKUP(A297,'Cadastro Geral Campistas'!$A:$R,15,0),""),""))))</f>
        <v>Ana Luiza esposa</v>
      </c>
      <c r="J297" s="56" t="str">
        <f>IFERROR(VLOOKUP(A297,'Cadastro Geral Campistas'!$A:$R,4,0),"")</f>
        <v>M</v>
      </c>
    </row>
    <row r="298" spans="1:10" ht="18" customHeight="1" x14ac:dyDescent="0.55000000000000004">
      <c r="A298" s="97">
        <v>53</v>
      </c>
      <c r="B298" s="43" t="str">
        <f>IFERROR(VLOOKUP(A298,'Cadastro Geral Campistas'!$A:$R,2,0),"")</f>
        <v>Henrique Carneiro Veiga</v>
      </c>
      <c r="C298" s="44">
        <f>IFERROR(VLOOKUP(A298,'Cadastro Geral Campistas'!$A:$R,5,0),"")</f>
        <v>86</v>
      </c>
      <c r="D298" s="44">
        <f>IFERROR(VLOOKUP(A298,'Cadastro Geral Campistas'!$A:$R,6,0),"")</f>
        <v>1.8</v>
      </c>
      <c r="E298" s="44">
        <f>IFERROR(VLOOKUP(A298,'Cadastro Geral Campistas'!$A:$R,7,0),"")</f>
        <v>30</v>
      </c>
      <c r="F298" s="43" t="str">
        <f>IFERROR(VLOOKUP(A298,'Cadastro Geral Campistas'!$A:$R,9,0),"")</f>
        <v>Goiânia</v>
      </c>
      <c r="G298" s="44" t="str">
        <f>IFERROR(VLOOKUP(A298,'Cadastro Geral Campistas'!$A:$R,3,0),"")</f>
        <v>M</v>
      </c>
      <c r="H298" s="43" t="str">
        <f>IFERROR(VLOOKUP(A298,'Cadastro Geral Campistas'!$A:$R,8,0),"")</f>
        <v>+55 (62) 99353-8118</v>
      </c>
      <c r="I298" s="113" t="str">
        <f>IF(AND(IFERROR(VLOOKUP(A298,'Cadastro Geral Campistas'!$A:$R,18,0),0)&gt;0,COUNTIF($A$289:$A$304,IFERROR(VLOOKUP(A298,'Cadastro Geral Campistas'!$A:$R,18,0),0))&gt;0),"⚠️ CONFLITO! Cônjuge na mesma tribo: "&amp;IFERROR(VLOOKUP(IFERROR(VLOOKUP(A298,'Cadastro Geral Campistas'!$A:$R,18,0),0),'Cadastro Geral Campistas'!$A:$R,2,""),""),TRIM(IF(AND(IFERROR(VLOOKUP(A298,'Cadastro Geral Campistas'!$A:$R,10,0),"")&lt;&gt;"",LOWER(TRIM(IFERROR(VLOOKUP(A298,'Cadastro Geral Campistas'!$A:$R,10,0),"")))&lt;&gt;"não",LOWER(TRIM(IFERROR(VLOOKUP(A298,'Cadastro Geral Campistas'!$A:$R,10,0),"")))&lt;&gt;"nao",LOWER(TRIM(IFERROR(VLOOKUP(A298,'Cadastro Geral Campistas'!$A:$R,10,0),"")))&lt;&gt;"0"),IFERROR(VLOOKUP(A298,'Cadastro Geral Campistas'!$A:$R,10,0),"")&amp;IF(AND(IFERROR(VLOOKUP(A298,'Cadastro Geral Campistas'!$A:$R,15,0),"")&lt;&gt;"",LOWER(TRIM(IFERROR(VLOOKUP(A298,'Cadastro Geral Campistas'!$A:$R,15,0),"")))&lt;&gt;"não",LOWER(TRIM(IFERROR(VLOOKUP(A298,'Cadastro Geral Campistas'!$A:$R,15,0),"")))&lt;&gt;"nao",LOWER(TRIM(IFERROR(VLOOKUP(A298,'Cadastro Geral Campistas'!$A:$R,15,0),"")))&lt;&gt;"0")," | Alergia: "&amp;IFERROR(VLOOKUP(A298,'Cadastro Geral Campistas'!$A:$R,15,0),""),""),IF(AND(IFERROR(VLOOKUP(A298,'Cadastro Geral Campistas'!$A:$R,15,0),"")&lt;&gt;"",LOWER(TRIM(IFERROR(VLOOKUP(A298,'Cadastro Geral Campistas'!$A:$R,15,0),"")))&lt;&gt;"não",LOWER(TRIM(IFERROR(VLOOKUP(A298,'Cadastro Geral Campistas'!$A:$R,15,0),"")))&lt;&gt;"nao",LOWER(TRIM(IFERROR(VLOOKUP(A298,'Cadastro Geral Campistas'!$A:$R,15,0),"")))&lt;&gt;"0"),"Alergia: "&amp;IFERROR(VLOOKUP(A298,'Cadastro Geral Campistas'!$A:$R,15,0),""),""))))</f>
        <v/>
      </c>
      <c r="J298" s="98" t="str">
        <f>IFERROR(VLOOKUP(A298,'Cadastro Geral Campistas'!$A:$R,4,0),"")</f>
        <v>M</v>
      </c>
    </row>
    <row r="299" spans="1:10" ht="18" customHeight="1" x14ac:dyDescent="0.55000000000000004">
      <c r="A299" s="57">
        <v>65</v>
      </c>
      <c r="B299" s="7" t="str">
        <f>IFERROR(VLOOKUP(A299,'Cadastro Geral Campistas'!$A:$R,2,0),"")</f>
        <v>João Marcos Ribeiro Pires</v>
      </c>
      <c r="C299" s="6">
        <f>IFERROR(VLOOKUP(A299,'Cadastro Geral Campistas'!$A:$R,5,0),"")</f>
        <v>76</v>
      </c>
      <c r="D299" s="6">
        <f>IFERROR(VLOOKUP(A299,'Cadastro Geral Campistas'!$A:$R,6,0),"")</f>
        <v>0</v>
      </c>
      <c r="E299" s="6">
        <f>IFERROR(VLOOKUP(A299,'Cadastro Geral Campistas'!$A:$R,7,0),"")</f>
        <v>32</v>
      </c>
      <c r="F299" s="7" t="str">
        <f>IFERROR(VLOOKUP(A299,'Cadastro Geral Campistas'!$A:$R,9,0),"")</f>
        <v>Goiânia</v>
      </c>
      <c r="G299" s="6" t="str">
        <f>IFERROR(VLOOKUP(A299,'Cadastro Geral Campistas'!$A:$R,3,0),"")</f>
        <v>P</v>
      </c>
      <c r="H299" s="7" t="str">
        <f>IFERROR(VLOOKUP(A299,'Cadastro Geral Campistas'!$A:$R,8,0),"")</f>
        <v>+55 (62) 98464-1658</v>
      </c>
      <c r="I299" s="101" t="str">
        <f>IF(AND(IFERROR(VLOOKUP(A299,'Cadastro Geral Campistas'!$A:$R,18,0),0)&gt;0,COUNTIF($A$289:$A$304,IFERROR(VLOOKUP(A299,'Cadastro Geral Campistas'!$A:$R,18,0),0))&gt;0),"⚠️ CONFLITO! Cônjuge na mesma tribo: "&amp;IFERROR(VLOOKUP(IFERROR(VLOOKUP(A299,'Cadastro Geral Campistas'!$A:$R,18,0),0),'Cadastro Geral Campistas'!$A:$R,2,""),""),TRIM(IF(AND(IFERROR(VLOOKUP(A299,'Cadastro Geral Campistas'!$A:$R,10,0),"")&lt;&gt;"",LOWER(TRIM(IFERROR(VLOOKUP(A299,'Cadastro Geral Campistas'!$A:$R,10,0),"")))&lt;&gt;"não",LOWER(TRIM(IFERROR(VLOOKUP(A299,'Cadastro Geral Campistas'!$A:$R,10,0),"")))&lt;&gt;"nao",LOWER(TRIM(IFERROR(VLOOKUP(A299,'Cadastro Geral Campistas'!$A:$R,10,0),"")))&lt;&gt;"0"),IFERROR(VLOOKUP(A299,'Cadastro Geral Campistas'!$A:$R,10,0),"")&amp;IF(AND(IFERROR(VLOOKUP(A299,'Cadastro Geral Campistas'!$A:$R,15,0),"")&lt;&gt;"",LOWER(TRIM(IFERROR(VLOOKUP(A299,'Cadastro Geral Campistas'!$A:$R,15,0),"")))&lt;&gt;"não",LOWER(TRIM(IFERROR(VLOOKUP(A299,'Cadastro Geral Campistas'!$A:$R,15,0),"")))&lt;&gt;"nao",LOWER(TRIM(IFERROR(VLOOKUP(A299,'Cadastro Geral Campistas'!$A:$R,15,0),"")))&lt;&gt;"0")," | Alergia: "&amp;IFERROR(VLOOKUP(A299,'Cadastro Geral Campistas'!$A:$R,15,0),""),""),IF(AND(IFERROR(VLOOKUP(A299,'Cadastro Geral Campistas'!$A:$R,15,0),"")&lt;&gt;"",LOWER(TRIM(IFERROR(VLOOKUP(A299,'Cadastro Geral Campistas'!$A:$R,15,0),"")))&lt;&gt;"não",LOWER(TRIM(IFERROR(VLOOKUP(A299,'Cadastro Geral Campistas'!$A:$R,15,0),"")))&lt;&gt;"nao",LOWER(TRIM(IFERROR(VLOOKUP(A299,'Cadastro Geral Campistas'!$A:$R,15,0),"")))&lt;&gt;"0"),"Alergia: "&amp;IFERROR(VLOOKUP(A299,'Cadastro Geral Campistas'!$A:$R,15,0),""),""))))</f>
        <v>Tenho uma amiga: Natana Miranda | Alergia: Paracetamol</v>
      </c>
      <c r="J299" s="58" t="str">
        <f>IFERROR(VLOOKUP(A299,'Cadastro Geral Campistas'!$A:$R,4,0),"")</f>
        <v>M</v>
      </c>
    </row>
    <row r="300" spans="1:10" ht="18" customHeight="1" x14ac:dyDescent="0.55000000000000004">
      <c r="A300" s="55">
        <v>91</v>
      </c>
      <c r="B300" s="3" t="str">
        <f>IFERROR(VLOOKUP(A300,'Cadastro Geral Campistas'!$A:$R,2,0),"")</f>
        <v>Marcos Aurélio Barreto Savio</v>
      </c>
      <c r="C300" s="2">
        <f>IFERROR(VLOOKUP(A300,'Cadastro Geral Campistas'!$A:$R,5,0),"")</f>
        <v>86</v>
      </c>
      <c r="D300" s="2">
        <f>IFERROR(VLOOKUP(A300,'Cadastro Geral Campistas'!$A:$R,6,0),"")</f>
        <v>0</v>
      </c>
      <c r="E300" s="2">
        <f>IFERROR(VLOOKUP(A300,'Cadastro Geral Campistas'!$A:$R,7,0),"")</f>
        <v>30</v>
      </c>
      <c r="F300" s="3" t="str">
        <f>IFERROR(VLOOKUP(A300,'Cadastro Geral Campistas'!$A:$R,9,0),"")</f>
        <v>Goiania</v>
      </c>
      <c r="G300" s="2" t="str">
        <f>IFERROR(VLOOKUP(A300,'Cadastro Geral Campistas'!$A:$R,3,0),"")</f>
        <v>G</v>
      </c>
      <c r="H300" s="3" t="str">
        <f>IFERROR(VLOOKUP(A300,'Cadastro Geral Campistas'!$A:$R,8,0),"")</f>
        <v>+55 (62) 98305-5595</v>
      </c>
      <c r="I300" s="103" t="str">
        <f>IF(AND(IFERROR(VLOOKUP(A300,'Cadastro Geral Campistas'!$A:$R,18,0),0)&gt;0,COUNTIF($A$289:$A$304,IFERROR(VLOOKUP(A300,'Cadastro Geral Campistas'!$A:$R,18,0),0))&gt;0),"⚠️ CONFLITO! Cônjuge na mesma tribo: "&amp;IFERROR(VLOOKUP(IFERROR(VLOOKUP(A300,'Cadastro Geral Campistas'!$A:$R,18,0),0),'Cadastro Geral Campistas'!$A:$R,2,""),""),TRIM(IF(AND(IFERROR(VLOOKUP(A300,'Cadastro Geral Campistas'!$A:$R,10,0),"")&lt;&gt;"",LOWER(TRIM(IFERROR(VLOOKUP(A300,'Cadastro Geral Campistas'!$A:$R,10,0),"")))&lt;&gt;"não",LOWER(TRIM(IFERROR(VLOOKUP(A300,'Cadastro Geral Campistas'!$A:$R,10,0),"")))&lt;&gt;"nao",LOWER(TRIM(IFERROR(VLOOKUP(A300,'Cadastro Geral Campistas'!$A:$R,10,0),"")))&lt;&gt;"0"),IFERROR(VLOOKUP(A300,'Cadastro Geral Campistas'!$A:$R,10,0),"")&amp;IF(AND(IFERROR(VLOOKUP(A300,'Cadastro Geral Campistas'!$A:$R,15,0),"")&lt;&gt;"",LOWER(TRIM(IFERROR(VLOOKUP(A300,'Cadastro Geral Campistas'!$A:$R,15,0),"")))&lt;&gt;"não",LOWER(TRIM(IFERROR(VLOOKUP(A300,'Cadastro Geral Campistas'!$A:$R,15,0),"")))&lt;&gt;"nao",LOWER(TRIM(IFERROR(VLOOKUP(A300,'Cadastro Geral Campistas'!$A:$R,15,0),"")))&lt;&gt;"0")," | Alergia: "&amp;IFERROR(VLOOKUP(A300,'Cadastro Geral Campistas'!$A:$R,15,0),""),""),IF(AND(IFERROR(VLOOKUP(A300,'Cadastro Geral Campistas'!$A:$R,15,0),"")&lt;&gt;"",LOWER(TRIM(IFERROR(VLOOKUP(A300,'Cadastro Geral Campistas'!$A:$R,15,0),"")))&lt;&gt;"não",LOWER(TRIM(IFERROR(VLOOKUP(A300,'Cadastro Geral Campistas'!$A:$R,15,0),"")))&lt;&gt;"nao",LOWER(TRIM(IFERROR(VLOOKUP(A300,'Cadastro Geral Campistas'!$A:$R,15,0),"")))&lt;&gt;"0"),"Alergia: "&amp;IFERROR(VLOOKUP(A300,'Cadastro Geral Campistas'!$A:$R,15,0),""),""))))</f>
        <v>Vitória Alves Sardinha - esposa</v>
      </c>
      <c r="J300" s="56" t="str">
        <f>IFERROR(VLOOKUP(A300,'Cadastro Geral Campistas'!$A:$R,4,0),"")</f>
        <v>M</v>
      </c>
    </row>
    <row r="301" spans="1:10" ht="18" customHeight="1" x14ac:dyDescent="0.55000000000000004">
      <c r="A301" s="55">
        <v>92</v>
      </c>
      <c r="B301" s="3" t="str">
        <f>IFERROR(VLOOKUP(A301,'Cadastro Geral Campistas'!$A:$R,2,0),"")</f>
        <v>Marcos Felipe de Freitas Martins</v>
      </c>
      <c r="C301" s="2">
        <f>IFERROR(VLOOKUP(A301,'Cadastro Geral Campistas'!$A:$R,5,0),"")</f>
        <v>78</v>
      </c>
      <c r="D301" s="2">
        <f>IFERROR(VLOOKUP(A301,'Cadastro Geral Campistas'!$A:$R,6,0),"")</f>
        <v>1.7</v>
      </c>
      <c r="E301" s="2">
        <f>IFERROR(VLOOKUP(A301,'Cadastro Geral Campistas'!$A:$R,7,0),"")</f>
        <v>29</v>
      </c>
      <c r="F301" s="3" t="str">
        <f>IFERROR(VLOOKUP(A301,'Cadastro Geral Campistas'!$A:$R,9,0),"")</f>
        <v>Aparecida de Goiania</v>
      </c>
      <c r="G301" s="2" t="str">
        <f>IFERROR(VLOOKUP(A301,'Cadastro Geral Campistas'!$A:$R,3,0),"")</f>
        <v>M</v>
      </c>
      <c r="H301" s="3" t="str">
        <f>IFERROR(VLOOKUP(A301,'Cadastro Geral Campistas'!$A:$R,8,0),"")</f>
        <v>+55 (62) 98279-5732</v>
      </c>
      <c r="I301" s="103" t="str">
        <f>IF(AND(IFERROR(VLOOKUP(A301,'Cadastro Geral Campistas'!$A:$R,18,0),0)&gt;0,COUNTIF($A$289:$A$304,IFERROR(VLOOKUP(A301,'Cadastro Geral Campistas'!$A:$R,18,0),0))&gt;0),"⚠️ CONFLITO! Cônjuge na mesma tribo: "&amp;IFERROR(VLOOKUP(IFERROR(VLOOKUP(A301,'Cadastro Geral Campistas'!$A:$R,18,0),0),'Cadastro Geral Campistas'!$A:$R,2,""),""),TRIM(IF(AND(IFERROR(VLOOKUP(A301,'Cadastro Geral Campistas'!$A:$R,10,0),"")&lt;&gt;"",LOWER(TRIM(IFERROR(VLOOKUP(A301,'Cadastro Geral Campistas'!$A:$R,10,0),"")))&lt;&gt;"não",LOWER(TRIM(IFERROR(VLOOKUP(A301,'Cadastro Geral Campistas'!$A:$R,10,0),"")))&lt;&gt;"nao",LOWER(TRIM(IFERROR(VLOOKUP(A301,'Cadastro Geral Campistas'!$A:$R,10,0),"")))&lt;&gt;"0"),IFERROR(VLOOKUP(A301,'Cadastro Geral Campistas'!$A:$R,10,0),"")&amp;IF(AND(IFERROR(VLOOKUP(A301,'Cadastro Geral Campistas'!$A:$R,15,0),"")&lt;&gt;"",LOWER(TRIM(IFERROR(VLOOKUP(A301,'Cadastro Geral Campistas'!$A:$R,15,0),"")))&lt;&gt;"não",LOWER(TRIM(IFERROR(VLOOKUP(A301,'Cadastro Geral Campistas'!$A:$R,15,0),"")))&lt;&gt;"nao",LOWER(TRIM(IFERROR(VLOOKUP(A301,'Cadastro Geral Campistas'!$A:$R,15,0),"")))&lt;&gt;"0")," | Alergia: "&amp;IFERROR(VLOOKUP(A301,'Cadastro Geral Campistas'!$A:$R,15,0),""),""),IF(AND(IFERROR(VLOOKUP(A301,'Cadastro Geral Campistas'!$A:$R,15,0),"")&lt;&gt;"",LOWER(TRIM(IFERROR(VLOOKUP(A301,'Cadastro Geral Campistas'!$A:$R,15,0),"")))&lt;&gt;"não",LOWER(TRIM(IFERROR(VLOOKUP(A301,'Cadastro Geral Campistas'!$A:$R,15,0),"")))&lt;&gt;"nao",LOWER(TRIM(IFERROR(VLOOKUP(A301,'Cadastro Geral Campistas'!$A:$R,15,0),"")))&lt;&gt;"0"),"Alergia: "&amp;IFERROR(VLOOKUP(A301,'Cadastro Geral Campistas'!$A:$R,15,0),""),""))))</f>
        <v>Sim Ariane Dias</v>
      </c>
      <c r="J301" s="56" t="str">
        <f>IFERROR(VLOOKUP(A301,'Cadastro Geral Campistas'!$A:$R,4,0),"")</f>
        <v>M</v>
      </c>
    </row>
    <row r="302" spans="1:10" ht="18" customHeight="1" x14ac:dyDescent="0.55000000000000004">
      <c r="A302" s="97">
        <v>28</v>
      </c>
      <c r="B302" s="43" t="str">
        <f>IFERROR(VLOOKUP(A302,'Cadastro Geral Campistas'!$A:$R,2,0),"")</f>
        <v>cley Altair santos</v>
      </c>
      <c r="C302" s="44">
        <f>IFERROR(VLOOKUP(A302,'Cadastro Geral Campistas'!$A:$R,5,0),"")</f>
        <v>84</v>
      </c>
      <c r="D302" s="44">
        <f>IFERROR(VLOOKUP(A302,'Cadastro Geral Campistas'!$A:$R,6,0),"")</f>
        <v>1.77</v>
      </c>
      <c r="E302" s="44">
        <f>IFERROR(VLOOKUP(A302,'Cadastro Geral Campistas'!$A:$R,7,0),"")</f>
        <v>48</v>
      </c>
      <c r="F302" s="43" t="str">
        <f>IFERROR(VLOOKUP(A302,'Cadastro Geral Campistas'!$A:$R,9,0),"")</f>
        <v>Goiânia</v>
      </c>
      <c r="G302" s="44" t="str">
        <f>IFERROR(VLOOKUP(A302,'Cadastro Geral Campistas'!$A:$R,3,0),"")</f>
        <v>G</v>
      </c>
      <c r="H302" s="43" t="str">
        <f>IFERROR(VLOOKUP(A302,'Cadastro Geral Campistas'!$A:$R,8,0),"")</f>
        <v>+55 (62) 99404-2763</v>
      </c>
      <c r="I302" s="113" t="str">
        <f>IF(AND(IFERROR(VLOOKUP(A302,'Cadastro Geral Campistas'!$A:$R,18,0),0)&gt;0,COUNTIF($A$289:$A$304,IFERROR(VLOOKUP(A302,'Cadastro Geral Campistas'!$A:$R,18,0),0))&gt;0),"⚠️ CONFLITO! Cônjuge na mesma tribo: "&amp;IFERROR(VLOOKUP(IFERROR(VLOOKUP(A302,'Cadastro Geral Campistas'!$A:$R,18,0),0),'Cadastro Geral Campistas'!$A:$R,2,""),""),TRIM(IF(AND(IFERROR(VLOOKUP(A302,'Cadastro Geral Campistas'!$A:$R,10,0),"")&lt;&gt;"",LOWER(TRIM(IFERROR(VLOOKUP(A302,'Cadastro Geral Campistas'!$A:$R,10,0),"")))&lt;&gt;"não",LOWER(TRIM(IFERROR(VLOOKUP(A302,'Cadastro Geral Campistas'!$A:$R,10,0),"")))&lt;&gt;"nao",LOWER(TRIM(IFERROR(VLOOKUP(A302,'Cadastro Geral Campistas'!$A:$R,10,0),"")))&lt;&gt;"0"),IFERROR(VLOOKUP(A302,'Cadastro Geral Campistas'!$A:$R,10,0),"")&amp;IF(AND(IFERROR(VLOOKUP(A302,'Cadastro Geral Campistas'!$A:$R,15,0),"")&lt;&gt;"",LOWER(TRIM(IFERROR(VLOOKUP(A302,'Cadastro Geral Campistas'!$A:$R,15,0),"")))&lt;&gt;"não",LOWER(TRIM(IFERROR(VLOOKUP(A302,'Cadastro Geral Campistas'!$A:$R,15,0),"")))&lt;&gt;"nao",LOWER(TRIM(IFERROR(VLOOKUP(A302,'Cadastro Geral Campistas'!$A:$R,15,0),"")))&lt;&gt;"0")," | Alergia: "&amp;IFERROR(VLOOKUP(A302,'Cadastro Geral Campistas'!$A:$R,15,0),""),""),IF(AND(IFERROR(VLOOKUP(A302,'Cadastro Geral Campistas'!$A:$R,15,0),"")&lt;&gt;"",LOWER(TRIM(IFERROR(VLOOKUP(A302,'Cadastro Geral Campistas'!$A:$R,15,0),"")))&lt;&gt;"não",LOWER(TRIM(IFERROR(VLOOKUP(A302,'Cadastro Geral Campistas'!$A:$R,15,0),"")))&lt;&gt;"nao",LOWER(TRIM(IFERROR(VLOOKUP(A302,'Cadastro Geral Campistas'!$A:$R,15,0),"")))&lt;&gt;"0"),"Alergia: "&amp;IFERROR(VLOOKUP(A302,'Cadastro Geral Campistas'!$A:$R,15,0),""),""))))</f>
        <v/>
      </c>
      <c r="J302" s="98" t="str">
        <f>IFERROR(VLOOKUP(A302,'Cadastro Geral Campistas'!$A:$R,4,0),"")</f>
        <v>M</v>
      </c>
    </row>
    <row r="303" spans="1:10" ht="18" customHeight="1" x14ac:dyDescent="0.55000000000000004">
      <c r="A303" s="57"/>
      <c r="B303" s="7" t="str">
        <f>IFERROR(VLOOKUP(A303,'Cadastro Geral Campistas'!$A:$R,2,0),"")</f>
        <v/>
      </c>
      <c r="C303" s="6" t="str">
        <f>IFERROR(VLOOKUP(A303,'Cadastro Geral Campistas'!$A:$R,5,0),"")</f>
        <v/>
      </c>
      <c r="D303" s="6" t="str">
        <f>IFERROR(VLOOKUP(A303,'Cadastro Geral Campistas'!$A:$R,6,0),"")</f>
        <v/>
      </c>
      <c r="E303" s="6" t="str">
        <f>IFERROR(VLOOKUP(A303,'Cadastro Geral Campistas'!$A:$R,7,0),"")</f>
        <v/>
      </c>
      <c r="F303" s="7" t="str">
        <f>IFERROR(VLOOKUP(A303,'Cadastro Geral Campistas'!$A:$R,9,0),"")</f>
        <v/>
      </c>
      <c r="G303" s="6" t="str">
        <f>IFERROR(VLOOKUP(A303,'Cadastro Geral Campistas'!$A:$R,3,0),"")</f>
        <v/>
      </c>
      <c r="H303" s="7" t="str">
        <f>IFERROR(VLOOKUP(A303,'Cadastro Geral Campistas'!$A:$R,8,0),"")</f>
        <v/>
      </c>
      <c r="I303" s="101" t="str">
        <f>IF(AND(IFERROR(VLOOKUP(A303,'Cadastro Geral Campistas'!$A:$R,18,0),0)&gt;0,COUNTIF($A$289:$A$304,IFERROR(VLOOKUP(A303,'Cadastro Geral Campistas'!$A:$R,18,0),0))&gt;0),"⚠️ CONFLITO! Cônjuge na mesma tribo: "&amp;IFERROR(VLOOKUP(IFERROR(VLOOKUP(A303,'Cadastro Geral Campistas'!$A:$R,18,0),0),'Cadastro Geral Campistas'!$A:$R,2,""),""),TRIM(IF(AND(IFERROR(VLOOKUP(A303,'Cadastro Geral Campistas'!$A:$R,10,0),"")&lt;&gt;"",LOWER(TRIM(IFERROR(VLOOKUP(A303,'Cadastro Geral Campistas'!$A:$R,10,0),"")))&lt;&gt;"não",LOWER(TRIM(IFERROR(VLOOKUP(A303,'Cadastro Geral Campistas'!$A:$R,10,0),"")))&lt;&gt;"nao",LOWER(TRIM(IFERROR(VLOOKUP(A303,'Cadastro Geral Campistas'!$A:$R,10,0),"")))&lt;&gt;"0"),IFERROR(VLOOKUP(A303,'Cadastro Geral Campistas'!$A:$R,10,0),"")&amp;IF(AND(IFERROR(VLOOKUP(A303,'Cadastro Geral Campistas'!$A:$R,15,0),"")&lt;&gt;"",LOWER(TRIM(IFERROR(VLOOKUP(A303,'Cadastro Geral Campistas'!$A:$R,15,0),"")))&lt;&gt;"não",LOWER(TRIM(IFERROR(VLOOKUP(A303,'Cadastro Geral Campistas'!$A:$R,15,0),"")))&lt;&gt;"nao",LOWER(TRIM(IFERROR(VLOOKUP(A303,'Cadastro Geral Campistas'!$A:$R,15,0),"")))&lt;&gt;"0")," | Alergia: "&amp;IFERROR(VLOOKUP(A303,'Cadastro Geral Campistas'!$A:$R,15,0),""),""),IF(AND(IFERROR(VLOOKUP(A303,'Cadastro Geral Campistas'!$A:$R,15,0),"")&lt;&gt;"",LOWER(TRIM(IFERROR(VLOOKUP(A303,'Cadastro Geral Campistas'!$A:$R,15,0),"")))&lt;&gt;"não",LOWER(TRIM(IFERROR(VLOOKUP(A303,'Cadastro Geral Campistas'!$A:$R,15,0),"")))&lt;&gt;"nao",LOWER(TRIM(IFERROR(VLOOKUP(A303,'Cadastro Geral Campistas'!$A:$R,15,0),"")))&lt;&gt;"0"),"Alergia: "&amp;IFERROR(VLOOKUP(A303,'Cadastro Geral Campistas'!$A:$R,15,0),""),""))))</f>
        <v/>
      </c>
      <c r="J303" s="58" t="str">
        <f>IFERROR(VLOOKUP(A303,'Cadastro Geral Campistas'!$A:$R,4,0),"")</f>
        <v/>
      </c>
    </row>
    <row r="304" spans="1:10" ht="18" customHeight="1" x14ac:dyDescent="0.55000000000000004">
      <c r="A304" s="57"/>
      <c r="B304" s="7" t="str">
        <f>IFERROR(VLOOKUP(A304,'Cadastro Geral Campistas'!$A:$R,2,0),"")</f>
        <v/>
      </c>
      <c r="C304" s="6" t="str">
        <f>IFERROR(VLOOKUP(A304,'Cadastro Geral Campistas'!$A:$R,5,0),"")</f>
        <v/>
      </c>
      <c r="D304" s="6" t="str">
        <f>IFERROR(VLOOKUP(A304,'Cadastro Geral Campistas'!$A:$R,6,0),"")</f>
        <v/>
      </c>
      <c r="E304" s="6" t="str">
        <f>IFERROR(VLOOKUP(A304,'Cadastro Geral Campistas'!$A:$R,7,0),"")</f>
        <v/>
      </c>
      <c r="F304" s="7" t="str">
        <f>IFERROR(VLOOKUP(A304,'Cadastro Geral Campistas'!$A:$R,9,0),"")</f>
        <v/>
      </c>
      <c r="G304" s="6" t="str">
        <f>IFERROR(VLOOKUP(A304,'Cadastro Geral Campistas'!$A:$R,3,0),"")</f>
        <v/>
      </c>
      <c r="H304" s="7" t="str">
        <f>IFERROR(VLOOKUP(A304,'Cadastro Geral Campistas'!$A:$R,8,0),"")</f>
        <v/>
      </c>
      <c r="I304" s="101" t="str">
        <f>IF(AND(IFERROR(VLOOKUP(A304,'Cadastro Geral Campistas'!$A:$R,18,0),0)&gt;0,COUNTIF($A$289:$A$304,IFERROR(VLOOKUP(A304,'Cadastro Geral Campistas'!$A:$R,18,0),0))&gt;0),"⚠️ CONFLITO! Cônjuge na mesma tribo: "&amp;IFERROR(VLOOKUP(IFERROR(VLOOKUP(A304,'Cadastro Geral Campistas'!$A:$R,18,0),0),'Cadastro Geral Campistas'!$A:$R,2,""),""),TRIM(IF(AND(IFERROR(VLOOKUP(A304,'Cadastro Geral Campistas'!$A:$R,10,0),"")&lt;&gt;"",LOWER(TRIM(IFERROR(VLOOKUP(A304,'Cadastro Geral Campistas'!$A:$R,10,0),"")))&lt;&gt;"não",LOWER(TRIM(IFERROR(VLOOKUP(A304,'Cadastro Geral Campistas'!$A:$R,10,0),"")))&lt;&gt;"nao",LOWER(TRIM(IFERROR(VLOOKUP(A304,'Cadastro Geral Campistas'!$A:$R,10,0),"")))&lt;&gt;"0"),IFERROR(VLOOKUP(A304,'Cadastro Geral Campistas'!$A:$R,10,0),"")&amp;IF(AND(IFERROR(VLOOKUP(A304,'Cadastro Geral Campistas'!$A:$R,15,0),"")&lt;&gt;"",LOWER(TRIM(IFERROR(VLOOKUP(A304,'Cadastro Geral Campistas'!$A:$R,15,0),"")))&lt;&gt;"não",LOWER(TRIM(IFERROR(VLOOKUP(A304,'Cadastro Geral Campistas'!$A:$R,15,0),"")))&lt;&gt;"nao",LOWER(TRIM(IFERROR(VLOOKUP(A304,'Cadastro Geral Campistas'!$A:$R,15,0),"")))&lt;&gt;"0")," | Alergia: "&amp;IFERROR(VLOOKUP(A304,'Cadastro Geral Campistas'!$A:$R,15,0),""),""),IF(AND(IFERROR(VLOOKUP(A304,'Cadastro Geral Campistas'!$A:$R,15,0),"")&lt;&gt;"",LOWER(TRIM(IFERROR(VLOOKUP(A304,'Cadastro Geral Campistas'!$A:$R,15,0),"")))&lt;&gt;"não",LOWER(TRIM(IFERROR(VLOOKUP(A304,'Cadastro Geral Campistas'!$A:$R,15,0),"")))&lt;&gt;"nao",LOWER(TRIM(IFERROR(VLOOKUP(A304,'Cadastro Geral Campistas'!$A:$R,15,0),"")))&lt;&gt;"0"),"Alergia: "&amp;IFERROR(VLOOKUP(A304,'Cadastro Geral Campistas'!$A:$R,15,0),""),""))))</f>
        <v/>
      </c>
      <c r="J304" s="58" t="str">
        <f>IFERROR(VLOOKUP(A304,'Cadastro Geral Campistas'!$A:$R,4,0),"")</f>
        <v/>
      </c>
    </row>
    <row r="305" spans="1:10" x14ac:dyDescent="0.55000000000000004">
      <c r="A305" s="61" t="s">
        <v>17</v>
      </c>
      <c r="B305" s="20"/>
      <c r="C305" s="20">
        <f>IFERROR(ROUND(AVERAGE(C289:C304),1),"")</f>
        <v>76.400000000000006</v>
      </c>
      <c r="D305" s="20"/>
      <c r="E305" s="20">
        <f>IFERROR(ROUND(AVERAGE(E289:E304),1),"")</f>
        <v>37.5</v>
      </c>
      <c r="F305" s="116"/>
      <c r="G305" s="104"/>
      <c r="H305" s="104"/>
      <c r="I305" s="126" t="str">
        <f>COUNTIF(J289:J304,"F")&amp;"  F    |    "&amp;COUNTIF(J289:J304,"M")&amp;"  M"</f>
        <v>7  F    |    7  M</v>
      </c>
      <c r="J305" s="127"/>
    </row>
    <row r="306" spans="1:10" x14ac:dyDescent="0.55000000000000004">
      <c r="A306" s="118"/>
      <c r="B306" s="119"/>
      <c r="C306" s="119"/>
      <c r="D306" s="119"/>
      <c r="E306" s="119"/>
      <c r="F306" s="119"/>
      <c r="G306" s="119"/>
      <c r="H306" s="119"/>
      <c r="I306" s="138" t="s">
        <v>18</v>
      </c>
      <c r="J306" s="131"/>
    </row>
    <row r="307" spans="1:10" x14ac:dyDescent="0.55000000000000004">
      <c r="A307" s="120"/>
      <c r="B307" s="121"/>
      <c r="C307" s="121"/>
      <c r="D307" s="121"/>
      <c r="E307" s="121"/>
      <c r="F307" s="121"/>
      <c r="G307" s="121"/>
      <c r="H307" s="121"/>
      <c r="I307" s="124" t="s">
        <v>131</v>
      </c>
      <c r="J307" s="125"/>
    </row>
    <row r="308" spans="1:10" x14ac:dyDescent="0.55000000000000004">
      <c r="A308" s="120"/>
      <c r="B308" s="121"/>
      <c r="C308" s="121"/>
      <c r="D308" s="121"/>
      <c r="E308" s="121"/>
      <c r="F308" s="121"/>
      <c r="G308" s="121"/>
      <c r="H308" s="121"/>
      <c r="I308" s="124" t="s">
        <v>132</v>
      </c>
      <c r="J308" s="125"/>
    </row>
    <row r="309" spans="1:10" x14ac:dyDescent="0.55000000000000004">
      <c r="A309" s="120"/>
      <c r="B309" s="121"/>
      <c r="C309" s="121"/>
      <c r="D309" s="121"/>
      <c r="E309" s="121"/>
      <c r="F309" s="121"/>
      <c r="G309" s="121"/>
      <c r="H309" s="121"/>
      <c r="I309" s="124" t="s">
        <v>133</v>
      </c>
      <c r="J309" s="125"/>
    </row>
    <row r="310" spans="1:10" x14ac:dyDescent="0.55000000000000004">
      <c r="A310" s="120"/>
      <c r="B310" s="121"/>
      <c r="C310" s="121"/>
      <c r="D310" s="121"/>
      <c r="E310" s="121"/>
      <c r="F310" s="121"/>
      <c r="G310" s="121"/>
      <c r="H310" s="121"/>
      <c r="I310" s="124" t="s">
        <v>134</v>
      </c>
      <c r="J310" s="125"/>
    </row>
    <row r="311" spans="1:10" x14ac:dyDescent="0.55000000000000004">
      <c r="A311" s="120"/>
      <c r="B311" s="121"/>
      <c r="C311" s="121"/>
      <c r="D311" s="121"/>
      <c r="E311" s="121"/>
      <c r="F311" s="121"/>
      <c r="G311" s="121"/>
      <c r="H311" s="121"/>
      <c r="I311" s="124" t="s">
        <v>135</v>
      </c>
      <c r="J311" s="125"/>
    </row>
    <row r="312" spans="1:10" x14ac:dyDescent="0.55000000000000004">
      <c r="A312" s="120"/>
      <c r="B312" s="121"/>
      <c r="C312" s="121"/>
      <c r="D312" s="121"/>
      <c r="E312" s="121"/>
      <c r="F312" s="121"/>
      <c r="G312" s="121"/>
      <c r="H312" s="121"/>
      <c r="I312" s="124" t="s">
        <v>136</v>
      </c>
      <c r="J312" s="125"/>
    </row>
    <row r="313" spans="1:10" x14ac:dyDescent="0.55000000000000004">
      <c r="A313" s="120"/>
      <c r="B313" s="121"/>
      <c r="C313" s="121"/>
      <c r="D313" s="121"/>
      <c r="E313" s="121"/>
      <c r="F313" s="121"/>
      <c r="G313" s="121"/>
      <c r="H313" s="121"/>
      <c r="I313" s="124" t="s">
        <v>137</v>
      </c>
      <c r="J313" s="125"/>
    </row>
    <row r="314" spans="1:10" x14ac:dyDescent="0.55000000000000004">
      <c r="A314" s="120"/>
      <c r="B314" s="121"/>
      <c r="C314" s="121"/>
      <c r="D314" s="121"/>
      <c r="E314" s="121"/>
      <c r="F314" s="121"/>
      <c r="G314" s="121"/>
      <c r="H314" s="121"/>
      <c r="I314" s="124" t="s">
        <v>138</v>
      </c>
      <c r="J314" s="125"/>
    </row>
    <row r="315" spans="1:10" ht="14.7" customHeight="1" thickBot="1" x14ac:dyDescent="0.6">
      <c r="A315" s="122"/>
      <c r="B315" s="123"/>
      <c r="C315" s="123"/>
      <c r="D315" s="123"/>
      <c r="E315" s="123"/>
      <c r="F315" s="123"/>
      <c r="G315" s="123"/>
      <c r="H315" s="123"/>
      <c r="I315" s="62" t="s">
        <v>139</v>
      </c>
      <c r="J315" s="67"/>
    </row>
  </sheetData>
  <mergeCells count="192">
    <mergeCell ref="I314:J314"/>
    <mergeCell ref="E141:J141"/>
    <mergeCell ref="I31:J31"/>
    <mergeCell ref="I202:J202"/>
    <mergeCell ref="G180:J180"/>
    <mergeCell ref="G5:J5"/>
    <mergeCell ref="I312:J312"/>
    <mergeCell ref="E106:J106"/>
    <mergeCell ref="G6:J6"/>
    <mergeCell ref="D72:F75"/>
    <mergeCell ref="I29:J29"/>
    <mergeCell ref="G286:J287"/>
    <mergeCell ref="A216:C216"/>
    <mergeCell ref="A107:F109"/>
    <mergeCell ref="A287:C287"/>
    <mergeCell ref="I169:J169"/>
    <mergeCell ref="I280:J280"/>
    <mergeCell ref="I274:J274"/>
    <mergeCell ref="A285:C285"/>
    <mergeCell ref="A251:C251"/>
    <mergeCell ref="A211:D211"/>
    <mergeCell ref="A76:C76"/>
    <mergeCell ref="A236:H245"/>
    <mergeCell ref="I100:J100"/>
    <mergeCell ref="A282:F284"/>
    <mergeCell ref="G72:J74"/>
    <mergeCell ref="I28:J28"/>
    <mergeCell ref="I206:J206"/>
    <mergeCell ref="A180:C180"/>
    <mergeCell ref="I102:J102"/>
    <mergeCell ref="I130:J130"/>
    <mergeCell ref="I68:J68"/>
    <mergeCell ref="A111:C111"/>
    <mergeCell ref="I235:J235"/>
    <mergeCell ref="D285:F287"/>
    <mergeCell ref="I67:J67"/>
    <mergeCell ref="I132:J132"/>
    <mergeCell ref="I167:J167"/>
    <mergeCell ref="I313:J313"/>
    <mergeCell ref="A36:D36"/>
    <mergeCell ref="I165:J165"/>
    <mergeCell ref="A1:D1"/>
    <mergeCell ref="A112:C112"/>
    <mergeCell ref="G216:J217"/>
    <mergeCell ref="I205:J205"/>
    <mergeCell ref="D247:F252"/>
    <mergeCell ref="A281:D281"/>
    <mergeCell ref="G247:J249"/>
    <mergeCell ref="I62:J62"/>
    <mergeCell ref="A246:D246"/>
    <mergeCell ref="I64:J64"/>
    <mergeCell ref="A142:C144"/>
    <mergeCell ref="I245:J245"/>
    <mergeCell ref="I63:J63"/>
    <mergeCell ref="I137:J137"/>
    <mergeCell ref="I65:J65"/>
    <mergeCell ref="G111:J112"/>
    <mergeCell ref="I34:J34"/>
    <mergeCell ref="A41:C41"/>
    <mergeCell ref="I105:J105"/>
    <mergeCell ref="A106:D106"/>
    <mergeCell ref="A217:C217"/>
    <mergeCell ref="A286:C286"/>
    <mergeCell ref="G177:J179"/>
    <mergeCell ref="I207:J207"/>
    <mergeCell ref="E211:J211"/>
    <mergeCell ref="I204:J204"/>
    <mergeCell ref="G212:J214"/>
    <mergeCell ref="I271:J271"/>
    <mergeCell ref="D142:F147"/>
    <mergeCell ref="D4:F6"/>
    <mergeCell ref="I103:J103"/>
    <mergeCell ref="A215:C215"/>
    <mergeCell ref="I97:J97"/>
    <mergeCell ref="I273:J273"/>
    <mergeCell ref="G146:J147"/>
    <mergeCell ref="I276:J276"/>
    <mergeCell ref="D76:I76"/>
    <mergeCell ref="I139:J139"/>
    <mergeCell ref="A145:C145"/>
    <mergeCell ref="I27:J27"/>
    <mergeCell ref="E176:J176"/>
    <mergeCell ref="I278:J278"/>
    <mergeCell ref="A177:C179"/>
    <mergeCell ref="G41:J41"/>
    <mergeCell ref="I101:J101"/>
    <mergeCell ref="K61:L70"/>
    <mergeCell ref="A72:C74"/>
    <mergeCell ref="E246:J246"/>
    <mergeCell ref="I33:J33"/>
    <mergeCell ref="A40:C40"/>
    <mergeCell ref="I98:J98"/>
    <mergeCell ref="A7:J7"/>
    <mergeCell ref="I309:J309"/>
    <mergeCell ref="A77:I77"/>
    <mergeCell ref="I244:J244"/>
    <mergeCell ref="I201:J201"/>
    <mergeCell ref="I241:J241"/>
    <mergeCell ref="I35:J35"/>
    <mergeCell ref="A96:H105"/>
    <mergeCell ref="I240:J240"/>
    <mergeCell ref="I138:J138"/>
    <mergeCell ref="G285:J285"/>
    <mergeCell ref="A250:C250"/>
    <mergeCell ref="I308:J308"/>
    <mergeCell ref="A146:C146"/>
    <mergeCell ref="I99:J99"/>
    <mergeCell ref="A71:D71"/>
    <mergeCell ref="I60:J60"/>
    <mergeCell ref="A42:J42"/>
    <mergeCell ref="I306:J306"/>
    <mergeCell ref="G75:J75"/>
    <mergeCell ref="I175:J175"/>
    <mergeCell ref="I242:J242"/>
    <mergeCell ref="A5:C5"/>
    <mergeCell ref="A247:C249"/>
    <mergeCell ref="E36:J36"/>
    <mergeCell ref="I32:J32"/>
    <mergeCell ref="I134:J134"/>
    <mergeCell ref="A306:H315"/>
    <mergeCell ref="I243:J243"/>
    <mergeCell ref="I305:J305"/>
    <mergeCell ref="E281:J281"/>
    <mergeCell ref="A37:J38"/>
    <mergeCell ref="I96:J96"/>
    <mergeCell ref="G142:I144"/>
    <mergeCell ref="I311:J311"/>
    <mergeCell ref="A252:C252"/>
    <mergeCell ref="I140:J140"/>
    <mergeCell ref="D212:F217"/>
    <mergeCell ref="I310:J310"/>
    <mergeCell ref="I174:J174"/>
    <mergeCell ref="G107:I109"/>
    <mergeCell ref="G250:J250"/>
    <mergeCell ref="A6:C6"/>
    <mergeCell ref="I270:J270"/>
    <mergeCell ref="I279:J279"/>
    <mergeCell ref="I69:J69"/>
    <mergeCell ref="I30:J30"/>
    <mergeCell ref="A212:C214"/>
    <mergeCell ref="E1:J1"/>
    <mergeCell ref="A201:H210"/>
    <mergeCell ref="A141:D141"/>
    <mergeCell ref="G110:J110"/>
    <mergeCell ref="G215:J215"/>
    <mergeCell ref="A75:C75"/>
    <mergeCell ref="I133:J133"/>
    <mergeCell ref="I61:J61"/>
    <mergeCell ref="I135:J135"/>
    <mergeCell ref="I25:J25"/>
    <mergeCell ref="I203:J203"/>
    <mergeCell ref="A181:C181"/>
    <mergeCell ref="I239:J239"/>
    <mergeCell ref="I66:J66"/>
    <mergeCell ref="I131:J131"/>
    <mergeCell ref="A2:J3"/>
    <mergeCell ref="I307:J307"/>
    <mergeCell ref="I171:J171"/>
    <mergeCell ref="G282:J284"/>
    <mergeCell ref="G145:J145"/>
    <mergeCell ref="I238:J238"/>
    <mergeCell ref="A26:H35"/>
    <mergeCell ref="A131:H140"/>
    <mergeCell ref="D39:F41"/>
    <mergeCell ref="I173:J173"/>
    <mergeCell ref="D110:F112"/>
    <mergeCell ref="I170:J170"/>
    <mergeCell ref="I236:J236"/>
    <mergeCell ref="I166:J166"/>
    <mergeCell ref="E71:J71"/>
    <mergeCell ref="G251:J252"/>
    <mergeCell ref="A110:C110"/>
    <mergeCell ref="I172:J172"/>
    <mergeCell ref="I26:J26"/>
    <mergeCell ref="I210:J210"/>
    <mergeCell ref="I237:J237"/>
    <mergeCell ref="A271:H280"/>
    <mergeCell ref="I277:J277"/>
    <mergeCell ref="G40:J40"/>
    <mergeCell ref="A176:D176"/>
    <mergeCell ref="I200:J200"/>
    <mergeCell ref="I209:J209"/>
    <mergeCell ref="A166:H175"/>
    <mergeCell ref="I168:J168"/>
    <mergeCell ref="A61:H70"/>
    <mergeCell ref="I208:J208"/>
    <mergeCell ref="I95:J95"/>
    <mergeCell ref="I104:J104"/>
    <mergeCell ref="I275:J275"/>
    <mergeCell ref="I136:J136"/>
    <mergeCell ref="D177:F182"/>
    <mergeCell ref="I272:J272"/>
  </mergeCells>
  <conditionalFormatting sqref="C25">
    <cfRule type="expression" dxfId="35" priority="5">
      <formula>ABS(C25-76.5)&gt;5</formula>
    </cfRule>
    <cfRule type="expression" dxfId="34" priority="5">
      <formula>ABS(C25-76.5)&lt;=5</formula>
    </cfRule>
  </conditionalFormatting>
  <conditionalFormatting sqref="C60">
    <cfRule type="expression" dxfId="33" priority="10">
      <formula>ABS(C60-76.5)&gt;5</formula>
    </cfRule>
    <cfRule type="expression" dxfId="32" priority="10">
      <formula>ABS(C60-76.5)&lt;=5</formula>
    </cfRule>
  </conditionalFormatting>
  <conditionalFormatting sqref="C95">
    <cfRule type="expression" dxfId="31" priority="15">
      <formula>ABS(C95-76.5)&lt;=5</formula>
    </cfRule>
    <cfRule type="expression" dxfId="30" priority="15">
      <formula>ABS(C95-76.5)&gt;5</formula>
    </cfRule>
  </conditionalFormatting>
  <conditionalFormatting sqref="C130">
    <cfRule type="expression" dxfId="29" priority="20">
      <formula>ABS(C130-76.5)&lt;=5</formula>
    </cfRule>
    <cfRule type="expression" dxfId="28" priority="20">
      <formula>ABS(C130-76.5)&gt;5</formula>
    </cfRule>
  </conditionalFormatting>
  <conditionalFormatting sqref="C165">
    <cfRule type="expression" dxfId="27" priority="25">
      <formula>ABS(C165-76.5)&lt;=5</formula>
    </cfRule>
    <cfRule type="expression" dxfId="26" priority="25">
      <formula>ABS(C165-76.5)&gt;5</formula>
    </cfRule>
  </conditionalFormatting>
  <conditionalFormatting sqref="C200">
    <cfRule type="expression" dxfId="25" priority="30">
      <formula>ABS(C200-76.5)&lt;=5</formula>
    </cfRule>
    <cfRule type="expression" dxfId="24" priority="30">
      <formula>ABS(C200-76.5)&gt;5</formula>
    </cfRule>
  </conditionalFormatting>
  <conditionalFormatting sqref="C235">
    <cfRule type="expression" dxfId="23" priority="35">
      <formula>ABS(C235-76.5)&gt;5</formula>
    </cfRule>
    <cfRule type="expression" dxfId="22" priority="35">
      <formula>ABS(C235-76.5)&lt;=5</formula>
    </cfRule>
  </conditionalFormatting>
  <conditionalFormatting sqref="C270">
    <cfRule type="expression" dxfId="21" priority="40">
      <formula>ABS(C270-76.5)&lt;=5</formula>
    </cfRule>
    <cfRule type="expression" dxfId="20" priority="40">
      <formula>ABS(C270-76.5)&gt;5</formula>
    </cfRule>
  </conditionalFormatting>
  <conditionalFormatting sqref="C305">
    <cfRule type="expression" dxfId="19" priority="45">
      <formula>ABS(C305-76.5)&lt;=5</formula>
    </cfRule>
    <cfRule type="expression" dxfId="18" priority="45">
      <formula>ABS(C305-76.5)&gt;5</formula>
    </cfRule>
  </conditionalFormatting>
  <conditionalFormatting sqref="E25">
    <cfRule type="expression" dxfId="17" priority="6">
      <formula>ABS(E25-40.7)&gt;5</formula>
    </cfRule>
    <cfRule type="expression" dxfId="16" priority="6">
      <formula>ABS(E25-40.7)&lt;=5</formula>
    </cfRule>
  </conditionalFormatting>
  <conditionalFormatting sqref="E60">
    <cfRule type="expression" dxfId="15" priority="11">
      <formula>ABS(E60-40.7)&gt;5</formula>
    </cfRule>
    <cfRule type="expression" dxfId="14" priority="11">
      <formula>ABS(E60-40.7)&lt;=5</formula>
    </cfRule>
  </conditionalFormatting>
  <conditionalFormatting sqref="E95">
    <cfRule type="expression" dxfId="13" priority="16">
      <formula>ABS(E95-40.7)&gt;5</formula>
    </cfRule>
    <cfRule type="expression" dxfId="12" priority="16">
      <formula>ABS(E95-40.7)&lt;=5</formula>
    </cfRule>
  </conditionalFormatting>
  <conditionalFormatting sqref="E130">
    <cfRule type="expression" dxfId="11" priority="21">
      <formula>ABS(E130-40.7)&lt;=5</formula>
    </cfRule>
    <cfRule type="expression" dxfId="10" priority="21">
      <formula>ABS(E130-40.7)&gt;5</formula>
    </cfRule>
  </conditionalFormatting>
  <conditionalFormatting sqref="E165">
    <cfRule type="expression" dxfId="9" priority="26">
      <formula>ABS(E165-40.7)&gt;5</formula>
    </cfRule>
    <cfRule type="expression" dxfId="8" priority="26">
      <formula>ABS(E165-40.7)&lt;=5</formula>
    </cfRule>
  </conditionalFormatting>
  <conditionalFormatting sqref="E200">
    <cfRule type="expression" dxfId="7" priority="31">
      <formula>ABS(E200-40.7)&lt;=5</formula>
    </cfRule>
    <cfRule type="expression" dxfId="6" priority="31">
      <formula>ABS(E200-40.7)&gt;5</formula>
    </cfRule>
  </conditionalFormatting>
  <conditionalFormatting sqref="E235">
    <cfRule type="expression" dxfId="5" priority="36">
      <formula>ABS(E235-40.7)&gt;5</formula>
    </cfRule>
    <cfRule type="expression" dxfId="4" priority="36">
      <formula>ABS(E235-40.7)&lt;=5</formula>
    </cfRule>
  </conditionalFormatting>
  <conditionalFormatting sqref="E270">
    <cfRule type="expression" dxfId="3" priority="41">
      <formula>ABS(E270-40.7)&gt;5</formula>
    </cfRule>
    <cfRule type="expression" dxfId="2" priority="41">
      <formula>ABS(E270-40.7)&lt;=5</formula>
    </cfRule>
  </conditionalFormatting>
  <conditionalFormatting sqref="E305">
    <cfRule type="expression" dxfId="1" priority="46">
      <formula>ABS(E305-40.7)&gt;5</formula>
    </cfRule>
    <cfRule type="expression" dxfId="0" priority="46">
      <formula>ABS(E305-40.7)&lt;=5</formula>
    </cfRule>
  </conditionalFormatting>
  <pageMargins left="0.35" right="0.35" top="0.4" bottom="0.4" header="0.2" footer="0.2"/>
  <pageSetup paperSize="9" scale="66" fitToHeight="0" orientation="landscape"/>
  <headerFooter>
    <oddHeader>&amp;C&amp;"Arial,Bold"&amp;12 Acampamento Espírito Empreendedor</oddHeader>
    <oddFooter>&amp;CPágina &amp;P de &amp;N</oddFooter>
  </headerFooter>
  <rowBreaks count="8" manualBreakCount="8">
    <brk id="35" max="16383" man="1"/>
    <brk id="70" max="16383" man="1"/>
    <brk id="105" max="16383" man="1"/>
    <brk id="140" max="16383" man="1"/>
    <brk id="175" max="16383" man="1"/>
    <brk id="210" max="16383" man="1"/>
    <brk id="245" max="16383" man="1"/>
    <brk id="280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5"/>
  <sheetViews>
    <sheetView workbookViewId="0"/>
  </sheetViews>
  <sheetFormatPr defaultRowHeight="14.4" x14ac:dyDescent="0.55000000000000004"/>
  <cols>
    <col min="1" max="1" width="7" customWidth="1"/>
    <col min="2" max="2" width="42" customWidth="1"/>
    <col min="3" max="3" width="22" customWidth="1"/>
    <col min="4" max="4" width="12" customWidth="1"/>
    <col min="5" max="5" width="16" customWidth="1"/>
    <col min="6" max="6" width="22" customWidth="1"/>
  </cols>
  <sheetData>
    <row r="1" spans="1:6" x14ac:dyDescent="0.55000000000000004">
      <c r="A1" s="185" t="s">
        <v>1226</v>
      </c>
      <c r="B1" s="121"/>
      <c r="C1" s="121"/>
      <c r="D1" s="121"/>
      <c r="E1" s="121"/>
      <c r="F1" s="121"/>
    </row>
    <row r="2" spans="1:6" x14ac:dyDescent="0.55000000000000004">
      <c r="A2" s="45" t="s">
        <v>1227</v>
      </c>
      <c r="B2" s="45" t="s">
        <v>1228</v>
      </c>
      <c r="C2" s="45" t="s">
        <v>148</v>
      </c>
      <c r="D2" s="45" t="s">
        <v>156</v>
      </c>
      <c r="E2" s="45" t="s">
        <v>1229</v>
      </c>
      <c r="F2" s="45" t="s">
        <v>147</v>
      </c>
    </row>
    <row r="3" spans="1:6" x14ac:dyDescent="0.55000000000000004">
      <c r="A3" s="32">
        <v>1</v>
      </c>
      <c r="B3" s="31" t="s">
        <v>158</v>
      </c>
      <c r="C3" s="31" t="s">
        <v>162</v>
      </c>
      <c r="D3" s="30" t="s">
        <v>170</v>
      </c>
      <c r="E3" s="31"/>
      <c r="F3" s="31" t="s">
        <v>161</v>
      </c>
    </row>
    <row r="4" spans="1:6" x14ac:dyDescent="0.55000000000000004">
      <c r="A4" s="6">
        <v>2</v>
      </c>
      <c r="B4" s="7" t="s">
        <v>171</v>
      </c>
      <c r="C4" s="7" t="s">
        <v>173</v>
      </c>
      <c r="D4" s="114" t="s">
        <v>180</v>
      </c>
      <c r="E4" s="7"/>
      <c r="F4" s="7" t="s">
        <v>172</v>
      </c>
    </row>
    <row r="5" spans="1:6" x14ac:dyDescent="0.55000000000000004">
      <c r="A5" s="32">
        <v>3</v>
      </c>
      <c r="B5" s="31" t="s">
        <v>181</v>
      </c>
      <c r="C5" s="31" t="s">
        <v>183</v>
      </c>
      <c r="D5" s="27" t="s">
        <v>191</v>
      </c>
      <c r="E5" s="31"/>
      <c r="F5" s="31" t="s">
        <v>182</v>
      </c>
    </row>
    <row r="6" spans="1:6" x14ac:dyDescent="0.55000000000000004">
      <c r="A6" s="6">
        <v>4</v>
      </c>
      <c r="B6" s="7" t="s">
        <v>192</v>
      </c>
      <c r="C6" s="7" t="s">
        <v>183</v>
      </c>
      <c r="D6" s="17" t="s">
        <v>202</v>
      </c>
      <c r="E6" s="7"/>
      <c r="F6" s="7" t="s">
        <v>194</v>
      </c>
    </row>
    <row r="7" spans="1:6" x14ac:dyDescent="0.55000000000000004">
      <c r="A7" s="32">
        <v>5</v>
      </c>
      <c r="B7" s="31" t="s">
        <v>203</v>
      </c>
      <c r="C7" s="31" t="s">
        <v>183</v>
      </c>
      <c r="D7" s="24" t="s">
        <v>212</v>
      </c>
      <c r="E7" s="31"/>
      <c r="F7" s="31" t="s">
        <v>204</v>
      </c>
    </row>
    <row r="8" spans="1:6" x14ac:dyDescent="0.55000000000000004">
      <c r="A8" s="6">
        <v>6</v>
      </c>
      <c r="B8" s="7" t="s">
        <v>213</v>
      </c>
      <c r="C8" s="7" t="s">
        <v>183</v>
      </c>
      <c r="D8" s="42" t="s">
        <v>221</v>
      </c>
      <c r="E8" s="7"/>
      <c r="F8" s="7" t="s">
        <v>215</v>
      </c>
    </row>
    <row r="9" spans="1:6" x14ac:dyDescent="0.55000000000000004">
      <c r="A9" s="32">
        <v>7</v>
      </c>
      <c r="B9" s="31" t="s">
        <v>222</v>
      </c>
      <c r="C9" s="31" t="s">
        <v>183</v>
      </c>
      <c r="D9" s="42" t="s">
        <v>221</v>
      </c>
      <c r="E9" s="31"/>
      <c r="F9" s="31" t="s">
        <v>223</v>
      </c>
    </row>
    <row r="10" spans="1:6" x14ac:dyDescent="0.55000000000000004">
      <c r="A10" s="6">
        <v>8</v>
      </c>
      <c r="B10" s="7" t="s">
        <v>229</v>
      </c>
      <c r="C10" s="7" t="s">
        <v>231</v>
      </c>
      <c r="D10" s="24" t="s">
        <v>212</v>
      </c>
      <c r="E10" s="7"/>
      <c r="F10" s="7" t="s">
        <v>230</v>
      </c>
    </row>
    <row r="11" spans="1:6" x14ac:dyDescent="0.55000000000000004">
      <c r="A11" s="32">
        <v>9</v>
      </c>
      <c r="B11" s="31" t="s">
        <v>238</v>
      </c>
      <c r="C11" s="31" t="s">
        <v>183</v>
      </c>
      <c r="D11" s="115" t="s">
        <v>246</v>
      </c>
      <c r="E11" s="31"/>
      <c r="F11" s="31" t="s">
        <v>239</v>
      </c>
    </row>
    <row r="12" spans="1:6" x14ac:dyDescent="0.55000000000000004">
      <c r="A12" s="6">
        <v>10</v>
      </c>
      <c r="B12" s="7" t="s">
        <v>247</v>
      </c>
      <c r="C12" s="7" t="s">
        <v>183</v>
      </c>
      <c r="D12" s="24" t="s">
        <v>212</v>
      </c>
      <c r="E12" s="7"/>
      <c r="F12" s="7" t="s">
        <v>248</v>
      </c>
    </row>
    <row r="13" spans="1:6" x14ac:dyDescent="0.55000000000000004">
      <c r="A13" s="32">
        <v>11</v>
      </c>
      <c r="B13" s="31" t="s">
        <v>255</v>
      </c>
      <c r="C13" s="31" t="s">
        <v>183</v>
      </c>
      <c r="D13" s="24" t="s">
        <v>212</v>
      </c>
      <c r="E13" s="31"/>
      <c r="F13" s="31" t="s">
        <v>256</v>
      </c>
    </row>
    <row r="14" spans="1:6" x14ac:dyDescent="0.55000000000000004">
      <c r="A14" s="6">
        <v>12</v>
      </c>
      <c r="B14" s="7" t="s">
        <v>262</v>
      </c>
      <c r="C14" s="7" t="s">
        <v>264</v>
      </c>
      <c r="D14" s="115" t="s">
        <v>246</v>
      </c>
      <c r="E14" s="7"/>
      <c r="F14" s="7" t="s">
        <v>263</v>
      </c>
    </row>
    <row r="15" spans="1:6" x14ac:dyDescent="0.55000000000000004">
      <c r="A15" s="32">
        <v>13</v>
      </c>
      <c r="B15" s="31" t="s">
        <v>272</v>
      </c>
      <c r="C15" s="31" t="s">
        <v>274</v>
      </c>
      <c r="D15" s="115" t="s">
        <v>246</v>
      </c>
      <c r="E15" s="31"/>
      <c r="F15" s="31" t="s">
        <v>273</v>
      </c>
    </row>
    <row r="16" spans="1:6" x14ac:dyDescent="0.55000000000000004">
      <c r="A16" s="6">
        <v>14</v>
      </c>
      <c r="B16" s="7" t="s">
        <v>281</v>
      </c>
      <c r="C16" s="7" t="s">
        <v>183</v>
      </c>
      <c r="D16" s="42" t="s">
        <v>221</v>
      </c>
      <c r="E16" s="7"/>
      <c r="F16" s="7" t="s">
        <v>282</v>
      </c>
    </row>
    <row r="17" spans="1:6" x14ac:dyDescent="0.55000000000000004">
      <c r="A17" s="32">
        <v>15</v>
      </c>
      <c r="B17" s="31" t="s">
        <v>289</v>
      </c>
      <c r="C17" s="31" t="s">
        <v>291</v>
      </c>
      <c r="D17" s="24" t="s">
        <v>212</v>
      </c>
      <c r="E17" s="31"/>
      <c r="F17" s="31" t="s">
        <v>290</v>
      </c>
    </row>
    <row r="18" spans="1:6" x14ac:dyDescent="0.55000000000000004">
      <c r="A18" s="6">
        <v>16</v>
      </c>
      <c r="B18" s="7" t="s">
        <v>298</v>
      </c>
      <c r="C18" s="7" t="s">
        <v>183</v>
      </c>
      <c r="D18" s="30" t="s">
        <v>170</v>
      </c>
      <c r="E18" s="7"/>
      <c r="F18" s="7" t="s">
        <v>299</v>
      </c>
    </row>
    <row r="19" spans="1:6" x14ac:dyDescent="0.55000000000000004">
      <c r="A19" s="32">
        <v>17</v>
      </c>
      <c r="B19" s="31" t="s">
        <v>305</v>
      </c>
      <c r="C19" s="31" t="s">
        <v>307</v>
      </c>
      <c r="D19" s="24" t="s">
        <v>212</v>
      </c>
      <c r="E19" s="31"/>
      <c r="F19" s="31" t="s">
        <v>306</v>
      </c>
    </row>
    <row r="20" spans="1:6" x14ac:dyDescent="0.55000000000000004">
      <c r="A20" s="6">
        <v>18</v>
      </c>
      <c r="B20" s="7" t="s">
        <v>313</v>
      </c>
      <c r="C20" s="7" t="s">
        <v>183</v>
      </c>
      <c r="D20" s="36" t="s">
        <v>320</v>
      </c>
      <c r="E20" s="7"/>
      <c r="F20" s="7" t="s">
        <v>314</v>
      </c>
    </row>
    <row r="21" spans="1:6" x14ac:dyDescent="0.55000000000000004">
      <c r="A21" s="32">
        <v>19</v>
      </c>
      <c r="B21" s="31" t="s">
        <v>321</v>
      </c>
      <c r="C21" s="31" t="s">
        <v>183</v>
      </c>
      <c r="D21" s="17" t="s">
        <v>202</v>
      </c>
      <c r="E21" s="31"/>
      <c r="F21" s="31" t="s">
        <v>323</v>
      </c>
    </row>
    <row r="22" spans="1:6" x14ac:dyDescent="0.55000000000000004">
      <c r="A22" s="6">
        <v>20</v>
      </c>
      <c r="B22" s="7" t="s">
        <v>330</v>
      </c>
      <c r="C22" s="7" t="s">
        <v>183</v>
      </c>
      <c r="D22" s="30" t="s">
        <v>170</v>
      </c>
      <c r="E22" s="7"/>
      <c r="F22" s="7" t="s">
        <v>331</v>
      </c>
    </row>
    <row r="23" spans="1:6" x14ac:dyDescent="0.55000000000000004">
      <c r="A23" s="32">
        <v>21</v>
      </c>
      <c r="B23" s="31" t="s">
        <v>337</v>
      </c>
      <c r="C23" s="31" t="s">
        <v>339</v>
      </c>
      <c r="D23" s="27" t="s">
        <v>191</v>
      </c>
      <c r="E23" s="31"/>
      <c r="F23" s="31" t="s">
        <v>338</v>
      </c>
    </row>
    <row r="24" spans="1:6" x14ac:dyDescent="0.55000000000000004">
      <c r="A24" s="6">
        <v>22</v>
      </c>
      <c r="B24" s="7" t="s">
        <v>345</v>
      </c>
      <c r="C24" s="7" t="s">
        <v>347</v>
      </c>
      <c r="D24" s="114" t="s">
        <v>180</v>
      </c>
      <c r="E24" s="7"/>
      <c r="F24" s="7" t="s">
        <v>346</v>
      </c>
    </row>
    <row r="25" spans="1:6" x14ac:dyDescent="0.55000000000000004">
      <c r="A25" s="32">
        <v>23</v>
      </c>
      <c r="B25" s="31" t="s">
        <v>353</v>
      </c>
      <c r="C25" s="31" t="s">
        <v>355</v>
      </c>
      <c r="D25" s="33" t="s">
        <v>361</v>
      </c>
      <c r="E25" s="31"/>
      <c r="F25" s="31" t="s">
        <v>354</v>
      </c>
    </row>
    <row r="26" spans="1:6" x14ac:dyDescent="0.55000000000000004">
      <c r="A26" s="6">
        <v>24</v>
      </c>
      <c r="B26" s="7" t="s">
        <v>362</v>
      </c>
      <c r="C26" s="7" t="s">
        <v>183</v>
      </c>
      <c r="D26" s="115" t="s">
        <v>246</v>
      </c>
      <c r="E26" s="7"/>
      <c r="F26" s="7" t="s">
        <v>363</v>
      </c>
    </row>
    <row r="27" spans="1:6" x14ac:dyDescent="0.55000000000000004">
      <c r="A27" s="32">
        <v>25</v>
      </c>
      <c r="B27" s="31" t="s">
        <v>370</v>
      </c>
      <c r="C27" s="31" t="s">
        <v>291</v>
      </c>
      <c r="D27" s="36" t="s">
        <v>320</v>
      </c>
      <c r="E27" s="31"/>
      <c r="F27" s="31" t="s">
        <v>371</v>
      </c>
    </row>
    <row r="28" spans="1:6" x14ac:dyDescent="0.55000000000000004">
      <c r="A28" s="6">
        <v>26</v>
      </c>
      <c r="B28" s="7" t="s">
        <v>377</v>
      </c>
      <c r="C28" s="7" t="s">
        <v>183</v>
      </c>
      <c r="D28" s="42" t="s">
        <v>221</v>
      </c>
      <c r="E28" s="7"/>
      <c r="F28" s="7" t="s">
        <v>378</v>
      </c>
    </row>
    <row r="29" spans="1:6" x14ac:dyDescent="0.55000000000000004">
      <c r="A29" s="32">
        <v>27</v>
      </c>
      <c r="B29" s="31" t="s">
        <v>384</v>
      </c>
      <c r="C29" s="31" t="s">
        <v>183</v>
      </c>
      <c r="D29" s="17" t="s">
        <v>202</v>
      </c>
      <c r="E29" s="31"/>
      <c r="F29" s="31" t="s">
        <v>385</v>
      </c>
    </row>
    <row r="30" spans="1:6" x14ac:dyDescent="0.55000000000000004">
      <c r="A30" s="6">
        <v>28</v>
      </c>
      <c r="B30" s="7" t="s">
        <v>392</v>
      </c>
      <c r="C30" s="7" t="s">
        <v>183</v>
      </c>
      <c r="D30" s="42" t="s">
        <v>221</v>
      </c>
      <c r="E30" s="7"/>
      <c r="F30" s="7" t="s">
        <v>393</v>
      </c>
    </row>
    <row r="31" spans="1:6" x14ac:dyDescent="0.55000000000000004">
      <c r="A31" s="32">
        <v>29</v>
      </c>
      <c r="B31" s="31" t="s">
        <v>399</v>
      </c>
      <c r="C31" s="31" t="s">
        <v>183</v>
      </c>
      <c r="D31" s="24" t="s">
        <v>212</v>
      </c>
      <c r="E31" s="31"/>
      <c r="F31" s="31" t="s">
        <v>401</v>
      </c>
    </row>
    <row r="32" spans="1:6" x14ac:dyDescent="0.55000000000000004">
      <c r="A32" s="6">
        <v>30</v>
      </c>
      <c r="B32" s="7" t="s">
        <v>408</v>
      </c>
      <c r="C32" s="7" t="s">
        <v>183</v>
      </c>
      <c r="D32" s="27" t="s">
        <v>191</v>
      </c>
      <c r="E32" s="7"/>
      <c r="F32" s="7" t="s">
        <v>409</v>
      </c>
    </row>
    <row r="33" spans="1:6" x14ac:dyDescent="0.55000000000000004">
      <c r="A33" s="32">
        <v>31</v>
      </c>
      <c r="B33" s="31" t="s">
        <v>413</v>
      </c>
      <c r="C33" s="31" t="s">
        <v>415</v>
      </c>
      <c r="D33" s="33" t="s">
        <v>361</v>
      </c>
      <c r="E33" s="31"/>
      <c r="F33" s="31" t="s">
        <v>414</v>
      </c>
    </row>
    <row r="34" spans="1:6" x14ac:dyDescent="0.55000000000000004">
      <c r="A34" s="6">
        <v>32</v>
      </c>
      <c r="B34" s="7" t="s">
        <v>421</v>
      </c>
      <c r="C34" s="7" t="s">
        <v>423</v>
      </c>
      <c r="D34" s="114" t="s">
        <v>180</v>
      </c>
      <c r="E34" s="7"/>
      <c r="F34" s="7" t="s">
        <v>422</v>
      </c>
    </row>
    <row r="35" spans="1:6" x14ac:dyDescent="0.55000000000000004">
      <c r="A35" s="32">
        <v>33</v>
      </c>
      <c r="B35" s="31" t="s">
        <v>430</v>
      </c>
      <c r="C35" s="31" t="s">
        <v>432</v>
      </c>
      <c r="D35" s="30" t="s">
        <v>170</v>
      </c>
      <c r="E35" s="31"/>
      <c r="F35" s="31" t="s">
        <v>431</v>
      </c>
    </row>
    <row r="36" spans="1:6" x14ac:dyDescent="0.55000000000000004">
      <c r="A36" s="6">
        <v>34</v>
      </c>
      <c r="B36" s="7" t="s">
        <v>438</v>
      </c>
      <c r="C36" s="7" t="s">
        <v>440</v>
      </c>
      <c r="D36" s="33" t="s">
        <v>361</v>
      </c>
      <c r="E36" s="7"/>
      <c r="F36" s="7" t="s">
        <v>439</v>
      </c>
    </row>
    <row r="37" spans="1:6" x14ac:dyDescent="0.55000000000000004">
      <c r="A37" s="32">
        <v>35</v>
      </c>
      <c r="B37" s="31" t="s">
        <v>447</v>
      </c>
      <c r="C37" s="31" t="s">
        <v>449</v>
      </c>
      <c r="D37" s="24" t="s">
        <v>212</v>
      </c>
      <c r="E37" s="31"/>
      <c r="F37" s="31" t="s">
        <v>448</v>
      </c>
    </row>
    <row r="38" spans="1:6" x14ac:dyDescent="0.55000000000000004">
      <c r="A38" s="6">
        <v>36</v>
      </c>
      <c r="B38" s="7" t="s">
        <v>457</v>
      </c>
      <c r="C38" s="7" t="s">
        <v>183</v>
      </c>
      <c r="D38" s="114" t="s">
        <v>180</v>
      </c>
      <c r="E38" s="7"/>
      <c r="F38" s="7" t="s">
        <v>458</v>
      </c>
    </row>
    <row r="40" spans="1:6" x14ac:dyDescent="0.55000000000000004">
      <c r="A40" s="185" t="s">
        <v>1230</v>
      </c>
      <c r="B40" s="121"/>
      <c r="C40" s="121"/>
      <c r="D40" s="121"/>
      <c r="E40" s="121"/>
      <c r="F40" s="121"/>
    </row>
    <row r="41" spans="1:6" x14ac:dyDescent="0.55000000000000004">
      <c r="A41" s="45" t="s">
        <v>1227</v>
      </c>
      <c r="B41" s="45" t="s">
        <v>1228</v>
      </c>
      <c r="C41" s="45" t="s">
        <v>148</v>
      </c>
      <c r="D41" s="45" t="s">
        <v>156</v>
      </c>
      <c r="E41" s="45" t="s">
        <v>1229</v>
      </c>
      <c r="F41" s="45" t="s">
        <v>147</v>
      </c>
    </row>
    <row r="42" spans="1:6" x14ac:dyDescent="0.55000000000000004">
      <c r="A42" s="32">
        <v>37</v>
      </c>
      <c r="B42" s="31" t="s">
        <v>466</v>
      </c>
      <c r="C42" s="31" t="s">
        <v>468</v>
      </c>
      <c r="D42" s="114" t="s">
        <v>180</v>
      </c>
      <c r="E42" s="31"/>
      <c r="F42" s="31" t="s">
        <v>467</v>
      </c>
    </row>
    <row r="43" spans="1:6" x14ac:dyDescent="0.55000000000000004">
      <c r="A43" s="6">
        <v>38</v>
      </c>
      <c r="B43" s="7" t="s">
        <v>474</v>
      </c>
      <c r="C43" s="7" t="s">
        <v>162</v>
      </c>
      <c r="D43" s="36" t="s">
        <v>320</v>
      </c>
      <c r="E43" s="7"/>
      <c r="F43" s="7" t="s">
        <v>475</v>
      </c>
    </row>
    <row r="44" spans="1:6" x14ac:dyDescent="0.55000000000000004">
      <c r="A44" s="32">
        <v>39</v>
      </c>
      <c r="B44" s="31" t="s">
        <v>478</v>
      </c>
      <c r="C44" s="31" t="s">
        <v>480</v>
      </c>
      <c r="D44" s="24" t="s">
        <v>212</v>
      </c>
      <c r="E44" s="31"/>
      <c r="F44" s="31" t="s">
        <v>479</v>
      </c>
    </row>
    <row r="45" spans="1:6" x14ac:dyDescent="0.55000000000000004">
      <c r="A45" s="6">
        <v>40</v>
      </c>
      <c r="B45" s="7" t="s">
        <v>487</v>
      </c>
      <c r="C45" s="7" t="s">
        <v>183</v>
      </c>
      <c r="D45" s="42" t="s">
        <v>221</v>
      </c>
      <c r="E45" s="7"/>
      <c r="F45" s="7" t="s">
        <v>488</v>
      </c>
    </row>
    <row r="46" spans="1:6" x14ac:dyDescent="0.55000000000000004">
      <c r="A46" s="32">
        <v>41</v>
      </c>
      <c r="B46" s="31" t="s">
        <v>495</v>
      </c>
      <c r="C46" s="31" t="s">
        <v>183</v>
      </c>
      <c r="D46" s="30" t="s">
        <v>170</v>
      </c>
      <c r="E46" s="31"/>
      <c r="F46" s="31" t="s">
        <v>496</v>
      </c>
    </row>
    <row r="47" spans="1:6" x14ac:dyDescent="0.55000000000000004">
      <c r="A47" s="6">
        <v>42</v>
      </c>
      <c r="B47" s="7" t="s">
        <v>503</v>
      </c>
      <c r="C47" s="7" t="s">
        <v>505</v>
      </c>
      <c r="D47" s="27" t="s">
        <v>191</v>
      </c>
      <c r="E47" s="7"/>
      <c r="F47" s="7" t="s">
        <v>504</v>
      </c>
    </row>
    <row r="48" spans="1:6" x14ac:dyDescent="0.55000000000000004">
      <c r="A48" s="32">
        <v>43</v>
      </c>
      <c r="B48" s="31" t="s">
        <v>510</v>
      </c>
      <c r="C48" s="31" t="s">
        <v>183</v>
      </c>
      <c r="D48" s="115" t="s">
        <v>246</v>
      </c>
      <c r="E48" s="31"/>
      <c r="F48" s="31" t="s">
        <v>511</v>
      </c>
    </row>
    <row r="49" spans="1:6" x14ac:dyDescent="0.55000000000000004">
      <c r="A49" s="6">
        <v>44</v>
      </c>
      <c r="B49" s="7" t="s">
        <v>517</v>
      </c>
      <c r="C49" s="7" t="s">
        <v>519</v>
      </c>
      <c r="D49" s="33" t="s">
        <v>361</v>
      </c>
      <c r="E49" s="7"/>
      <c r="F49" s="7" t="s">
        <v>518</v>
      </c>
    </row>
    <row r="50" spans="1:6" x14ac:dyDescent="0.55000000000000004">
      <c r="A50" s="32">
        <v>45</v>
      </c>
      <c r="B50" s="31" t="s">
        <v>524</v>
      </c>
      <c r="C50" s="31" t="s">
        <v>526</v>
      </c>
      <c r="D50" s="33" t="s">
        <v>361</v>
      </c>
      <c r="E50" s="31"/>
      <c r="F50" s="31" t="s">
        <v>525</v>
      </c>
    </row>
    <row r="51" spans="1:6" x14ac:dyDescent="0.55000000000000004">
      <c r="A51" s="6">
        <v>46</v>
      </c>
      <c r="B51" s="7" t="s">
        <v>532</v>
      </c>
      <c r="C51" s="7" t="s">
        <v>183</v>
      </c>
      <c r="D51" s="24" t="s">
        <v>212</v>
      </c>
      <c r="E51" s="7"/>
      <c r="F51" s="7" t="s">
        <v>533</v>
      </c>
    </row>
    <row r="52" spans="1:6" x14ac:dyDescent="0.55000000000000004">
      <c r="A52" s="32">
        <v>47</v>
      </c>
      <c r="B52" s="31" t="s">
        <v>539</v>
      </c>
      <c r="C52" s="31" t="s">
        <v>541</v>
      </c>
      <c r="D52" s="42" t="s">
        <v>221</v>
      </c>
      <c r="E52" s="31"/>
      <c r="F52" s="31" t="s">
        <v>540</v>
      </c>
    </row>
    <row r="53" spans="1:6" x14ac:dyDescent="0.55000000000000004">
      <c r="A53" s="6">
        <v>48</v>
      </c>
      <c r="B53" s="7" t="s">
        <v>548</v>
      </c>
      <c r="C53" s="7" t="s">
        <v>183</v>
      </c>
      <c r="D53" s="24" t="s">
        <v>212</v>
      </c>
      <c r="E53" s="7"/>
      <c r="F53" s="7" t="s">
        <v>550</v>
      </c>
    </row>
    <row r="54" spans="1:6" x14ac:dyDescent="0.55000000000000004">
      <c r="A54" s="32">
        <v>49</v>
      </c>
      <c r="B54" s="31" t="s">
        <v>556</v>
      </c>
      <c r="C54" s="31" t="s">
        <v>558</v>
      </c>
      <c r="D54" s="27" t="s">
        <v>191</v>
      </c>
      <c r="E54" s="31"/>
      <c r="F54" s="31" t="s">
        <v>557</v>
      </c>
    </row>
    <row r="55" spans="1:6" x14ac:dyDescent="0.55000000000000004">
      <c r="A55" s="6">
        <v>50</v>
      </c>
      <c r="B55" s="7" t="s">
        <v>562</v>
      </c>
      <c r="C55" s="7" t="s">
        <v>183</v>
      </c>
      <c r="D55" s="17" t="s">
        <v>202</v>
      </c>
      <c r="E55" s="7"/>
      <c r="F55" s="7" t="s">
        <v>563</v>
      </c>
    </row>
    <row r="56" spans="1:6" x14ac:dyDescent="0.55000000000000004">
      <c r="A56" s="32">
        <v>51</v>
      </c>
      <c r="B56" s="31" t="s">
        <v>569</v>
      </c>
      <c r="C56" s="31" t="s">
        <v>183</v>
      </c>
      <c r="D56" s="30" t="s">
        <v>170</v>
      </c>
      <c r="E56" s="31"/>
      <c r="F56" s="31" t="s">
        <v>570</v>
      </c>
    </row>
    <row r="57" spans="1:6" x14ac:dyDescent="0.55000000000000004">
      <c r="A57" s="6">
        <v>52</v>
      </c>
      <c r="B57" s="7" t="s">
        <v>577</v>
      </c>
      <c r="C57" s="7" t="s">
        <v>579</v>
      </c>
      <c r="D57" s="30" t="s">
        <v>170</v>
      </c>
      <c r="E57" s="7"/>
      <c r="F57" s="7" t="s">
        <v>578</v>
      </c>
    </row>
    <row r="58" spans="1:6" x14ac:dyDescent="0.55000000000000004">
      <c r="A58" s="32">
        <v>53</v>
      </c>
      <c r="B58" s="31" t="s">
        <v>585</v>
      </c>
      <c r="C58" s="31" t="s">
        <v>183</v>
      </c>
      <c r="D58" s="42" t="s">
        <v>221</v>
      </c>
      <c r="E58" s="31"/>
      <c r="F58" s="31" t="s">
        <v>586</v>
      </c>
    </row>
    <row r="59" spans="1:6" x14ac:dyDescent="0.55000000000000004">
      <c r="A59" s="6">
        <v>54</v>
      </c>
      <c r="B59" s="7" t="s">
        <v>592</v>
      </c>
      <c r="C59" s="7" t="s">
        <v>183</v>
      </c>
      <c r="D59" s="33" t="s">
        <v>361</v>
      </c>
      <c r="E59" s="7"/>
      <c r="F59" s="7" t="s">
        <v>593</v>
      </c>
    </row>
    <row r="60" spans="1:6" x14ac:dyDescent="0.55000000000000004">
      <c r="A60" s="32">
        <v>55</v>
      </c>
      <c r="B60" s="31" t="s">
        <v>600</v>
      </c>
      <c r="C60" s="31" t="s">
        <v>183</v>
      </c>
      <c r="D60" s="27" t="s">
        <v>191</v>
      </c>
      <c r="E60" s="31"/>
      <c r="F60" s="31" t="s">
        <v>601</v>
      </c>
    </row>
    <row r="61" spans="1:6" x14ac:dyDescent="0.55000000000000004">
      <c r="A61" s="6">
        <v>56</v>
      </c>
      <c r="B61" s="7" t="s">
        <v>607</v>
      </c>
      <c r="C61" s="7" t="s">
        <v>183</v>
      </c>
      <c r="D61" s="115" t="s">
        <v>246</v>
      </c>
      <c r="E61" s="7"/>
      <c r="F61" s="7" t="s">
        <v>608</v>
      </c>
    </row>
    <row r="62" spans="1:6" x14ac:dyDescent="0.55000000000000004">
      <c r="A62" s="32">
        <v>57</v>
      </c>
      <c r="B62" s="31" t="s">
        <v>614</v>
      </c>
      <c r="C62" s="31" t="s">
        <v>183</v>
      </c>
      <c r="D62" s="33" t="s">
        <v>361</v>
      </c>
      <c r="E62" s="31"/>
      <c r="F62" s="31" t="s">
        <v>615</v>
      </c>
    </row>
    <row r="63" spans="1:6" x14ac:dyDescent="0.55000000000000004">
      <c r="A63" s="6">
        <v>58</v>
      </c>
      <c r="B63" s="7" t="s">
        <v>621</v>
      </c>
      <c r="C63" s="7" t="s">
        <v>173</v>
      </c>
      <c r="D63" s="114" t="s">
        <v>180</v>
      </c>
      <c r="E63" s="7"/>
      <c r="F63" s="7" t="s">
        <v>622</v>
      </c>
    </row>
    <row r="64" spans="1:6" x14ac:dyDescent="0.55000000000000004">
      <c r="A64" s="32">
        <v>59</v>
      </c>
      <c r="B64" s="31" t="s">
        <v>630</v>
      </c>
      <c r="C64" s="31" t="s">
        <v>183</v>
      </c>
      <c r="D64" s="24" t="s">
        <v>212</v>
      </c>
      <c r="E64" s="31"/>
      <c r="F64" s="31" t="s">
        <v>631</v>
      </c>
    </row>
    <row r="65" spans="1:6" x14ac:dyDescent="0.55000000000000004">
      <c r="A65" s="6">
        <v>60</v>
      </c>
      <c r="B65" s="7" t="s">
        <v>637</v>
      </c>
      <c r="C65" s="7" t="s">
        <v>183</v>
      </c>
      <c r="D65" s="30" t="s">
        <v>170</v>
      </c>
      <c r="E65" s="7"/>
      <c r="F65" s="7" t="s">
        <v>638</v>
      </c>
    </row>
    <row r="66" spans="1:6" x14ac:dyDescent="0.55000000000000004">
      <c r="A66" s="32">
        <v>61</v>
      </c>
      <c r="B66" s="31" t="s">
        <v>645</v>
      </c>
      <c r="C66" s="31" t="s">
        <v>183</v>
      </c>
      <c r="D66" s="115" t="s">
        <v>246</v>
      </c>
      <c r="E66" s="31"/>
      <c r="F66" s="31" t="s">
        <v>647</v>
      </c>
    </row>
    <row r="67" spans="1:6" x14ac:dyDescent="0.55000000000000004">
      <c r="A67" s="6">
        <v>62</v>
      </c>
      <c r="B67" s="7" t="s">
        <v>654</v>
      </c>
      <c r="C67" s="7" t="s">
        <v>183</v>
      </c>
      <c r="D67" s="42" t="s">
        <v>221</v>
      </c>
      <c r="E67" s="7"/>
      <c r="F67" s="7" t="s">
        <v>655</v>
      </c>
    </row>
    <row r="68" spans="1:6" x14ac:dyDescent="0.55000000000000004">
      <c r="A68" s="32">
        <v>63</v>
      </c>
      <c r="B68" s="31" t="s">
        <v>662</v>
      </c>
      <c r="C68" s="31" t="s">
        <v>183</v>
      </c>
      <c r="D68" s="17" t="s">
        <v>202</v>
      </c>
      <c r="E68" s="31"/>
      <c r="F68" s="31" t="s">
        <v>663</v>
      </c>
    </row>
    <row r="69" spans="1:6" x14ac:dyDescent="0.55000000000000004">
      <c r="A69" s="6">
        <v>64</v>
      </c>
      <c r="B69" s="7" t="s">
        <v>669</v>
      </c>
      <c r="C69" s="7" t="s">
        <v>183</v>
      </c>
      <c r="D69" s="114" t="s">
        <v>180</v>
      </c>
      <c r="E69" s="7"/>
      <c r="F69" s="7" t="s">
        <v>670</v>
      </c>
    </row>
    <row r="70" spans="1:6" x14ac:dyDescent="0.55000000000000004">
      <c r="A70" s="32">
        <v>65</v>
      </c>
      <c r="B70" s="31" t="s">
        <v>676</v>
      </c>
      <c r="C70" s="31" t="s">
        <v>183</v>
      </c>
      <c r="D70" s="42" t="s">
        <v>221</v>
      </c>
      <c r="E70" s="31"/>
      <c r="F70" s="31" t="s">
        <v>677</v>
      </c>
    </row>
    <row r="71" spans="1:6" x14ac:dyDescent="0.55000000000000004">
      <c r="A71" s="6">
        <v>66</v>
      </c>
      <c r="B71" s="7" t="s">
        <v>685</v>
      </c>
      <c r="C71" s="7" t="s">
        <v>183</v>
      </c>
      <c r="D71" s="115" t="s">
        <v>246</v>
      </c>
      <c r="E71" s="7"/>
      <c r="F71" s="7" t="s">
        <v>686</v>
      </c>
    </row>
    <row r="72" spans="1:6" x14ac:dyDescent="0.55000000000000004">
      <c r="A72" s="32">
        <v>67</v>
      </c>
      <c r="B72" s="31" t="s">
        <v>691</v>
      </c>
      <c r="C72" s="31" t="s">
        <v>183</v>
      </c>
      <c r="D72" s="115" t="s">
        <v>246</v>
      </c>
      <c r="E72" s="31"/>
      <c r="F72" s="31" t="s">
        <v>692</v>
      </c>
    </row>
    <row r="73" spans="1:6" x14ac:dyDescent="0.55000000000000004">
      <c r="A73" s="6">
        <v>68</v>
      </c>
      <c r="B73" s="7" t="s">
        <v>696</v>
      </c>
      <c r="C73" s="7" t="s">
        <v>183</v>
      </c>
      <c r="D73" s="36" t="s">
        <v>320</v>
      </c>
      <c r="E73" s="7"/>
      <c r="F73" s="7" t="s">
        <v>697</v>
      </c>
    </row>
    <row r="74" spans="1:6" x14ac:dyDescent="0.55000000000000004">
      <c r="A74" s="32">
        <v>69</v>
      </c>
      <c r="B74" s="31" t="s">
        <v>704</v>
      </c>
      <c r="C74" s="31" t="s">
        <v>183</v>
      </c>
      <c r="D74" s="27" t="s">
        <v>191</v>
      </c>
      <c r="E74" s="31"/>
      <c r="F74" s="31" t="s">
        <v>705</v>
      </c>
    </row>
    <row r="75" spans="1:6" x14ac:dyDescent="0.55000000000000004">
      <c r="A75" s="6">
        <v>70</v>
      </c>
      <c r="B75" s="7" t="s">
        <v>712</v>
      </c>
      <c r="C75" s="7" t="s">
        <v>183</v>
      </c>
      <c r="D75" s="114" t="s">
        <v>180</v>
      </c>
      <c r="E75" s="7"/>
      <c r="F75" s="7" t="s">
        <v>713</v>
      </c>
    </row>
    <row r="76" spans="1:6" x14ac:dyDescent="0.55000000000000004">
      <c r="A76" s="32">
        <v>71</v>
      </c>
      <c r="B76" s="31" t="s">
        <v>719</v>
      </c>
      <c r="C76" s="31" t="s">
        <v>183</v>
      </c>
      <c r="D76" s="30" t="s">
        <v>170</v>
      </c>
      <c r="E76" s="31"/>
      <c r="F76" s="31" t="s">
        <v>720</v>
      </c>
    </row>
    <row r="77" spans="1:6" x14ac:dyDescent="0.55000000000000004">
      <c r="A77" s="6">
        <v>72</v>
      </c>
      <c r="B77" s="7" t="s">
        <v>724</v>
      </c>
      <c r="C77" s="7" t="s">
        <v>726</v>
      </c>
      <c r="D77" s="27" t="s">
        <v>191</v>
      </c>
      <c r="E77" s="7"/>
      <c r="F77" s="7" t="s">
        <v>725</v>
      </c>
    </row>
    <row r="79" spans="1:6" x14ac:dyDescent="0.55000000000000004">
      <c r="A79" s="185" t="s">
        <v>1231</v>
      </c>
      <c r="B79" s="121"/>
      <c r="C79" s="121"/>
      <c r="D79" s="121"/>
      <c r="E79" s="121"/>
      <c r="F79" s="121"/>
    </row>
    <row r="80" spans="1:6" x14ac:dyDescent="0.55000000000000004">
      <c r="A80" s="45" t="s">
        <v>1227</v>
      </c>
      <c r="B80" s="45" t="s">
        <v>1228</v>
      </c>
      <c r="C80" s="45" t="s">
        <v>148</v>
      </c>
      <c r="D80" s="45" t="s">
        <v>156</v>
      </c>
      <c r="E80" s="45" t="s">
        <v>1229</v>
      </c>
      <c r="F80" s="45" t="s">
        <v>147</v>
      </c>
    </row>
    <row r="81" spans="1:6" x14ac:dyDescent="0.55000000000000004">
      <c r="A81" s="32">
        <v>73</v>
      </c>
      <c r="B81" s="31" t="s">
        <v>732</v>
      </c>
      <c r="C81" s="31" t="s">
        <v>734</v>
      </c>
      <c r="D81" s="114" t="s">
        <v>180</v>
      </c>
      <c r="E81" s="31"/>
      <c r="F81" s="31" t="s">
        <v>733</v>
      </c>
    </row>
    <row r="82" spans="1:6" x14ac:dyDescent="0.55000000000000004">
      <c r="A82" s="6">
        <v>74</v>
      </c>
      <c r="B82" s="7" t="s">
        <v>740</v>
      </c>
      <c r="C82" s="7" t="s">
        <v>183</v>
      </c>
      <c r="D82" s="24" t="s">
        <v>212</v>
      </c>
      <c r="E82" s="7"/>
      <c r="F82" s="7" t="s">
        <v>741</v>
      </c>
    </row>
    <row r="83" spans="1:6" x14ac:dyDescent="0.55000000000000004">
      <c r="A83" s="32">
        <v>75</v>
      </c>
      <c r="B83" s="31" t="s">
        <v>747</v>
      </c>
      <c r="C83" s="31" t="s">
        <v>173</v>
      </c>
      <c r="D83" s="33" t="s">
        <v>361</v>
      </c>
      <c r="E83" s="31"/>
      <c r="F83" s="31" t="s">
        <v>748</v>
      </c>
    </row>
    <row r="84" spans="1:6" x14ac:dyDescent="0.55000000000000004">
      <c r="A84" s="6">
        <v>76</v>
      </c>
      <c r="B84" s="7" t="s">
        <v>755</v>
      </c>
      <c r="C84" s="7" t="s">
        <v>757</v>
      </c>
      <c r="D84" s="114" t="s">
        <v>180</v>
      </c>
      <c r="E84" s="7"/>
      <c r="F84" s="7" t="s">
        <v>756</v>
      </c>
    </row>
    <row r="85" spans="1:6" x14ac:dyDescent="0.55000000000000004">
      <c r="A85" s="32">
        <v>77</v>
      </c>
      <c r="B85" s="31" t="s">
        <v>764</v>
      </c>
      <c r="C85" s="31" t="s">
        <v>183</v>
      </c>
      <c r="D85" s="115" t="s">
        <v>246</v>
      </c>
      <c r="E85" s="31"/>
      <c r="F85" s="31" t="s">
        <v>765</v>
      </c>
    </row>
    <row r="86" spans="1:6" x14ac:dyDescent="0.55000000000000004">
      <c r="A86" s="6">
        <v>78</v>
      </c>
      <c r="B86" s="7" t="s">
        <v>772</v>
      </c>
      <c r="C86" s="7" t="s">
        <v>183</v>
      </c>
      <c r="D86" s="17" t="s">
        <v>202</v>
      </c>
      <c r="E86" s="7"/>
      <c r="F86" s="7" t="s">
        <v>773</v>
      </c>
    </row>
    <row r="87" spans="1:6" x14ac:dyDescent="0.55000000000000004">
      <c r="A87" s="32">
        <v>79</v>
      </c>
      <c r="B87" s="31" t="s">
        <v>779</v>
      </c>
      <c r="C87" s="31" t="s">
        <v>440</v>
      </c>
      <c r="D87" s="17" t="s">
        <v>202</v>
      </c>
      <c r="E87" s="31"/>
      <c r="F87" s="31" t="s">
        <v>780</v>
      </c>
    </row>
    <row r="88" spans="1:6" x14ac:dyDescent="0.55000000000000004">
      <c r="A88" s="6">
        <v>80</v>
      </c>
      <c r="B88" s="7" t="s">
        <v>787</v>
      </c>
      <c r="C88" s="7" t="s">
        <v>183</v>
      </c>
      <c r="D88" s="114" t="s">
        <v>180</v>
      </c>
      <c r="E88" s="7"/>
      <c r="F88" s="7" t="s">
        <v>788</v>
      </c>
    </row>
    <row r="89" spans="1:6" x14ac:dyDescent="0.55000000000000004">
      <c r="A89" s="32">
        <v>81</v>
      </c>
      <c r="B89" s="31" t="s">
        <v>749</v>
      </c>
      <c r="C89" s="31" t="s">
        <v>526</v>
      </c>
      <c r="D89" s="36" t="s">
        <v>320</v>
      </c>
      <c r="E89" s="31"/>
      <c r="F89" s="31" t="s">
        <v>795</v>
      </c>
    </row>
    <row r="90" spans="1:6" x14ac:dyDescent="0.55000000000000004">
      <c r="A90" s="6">
        <v>82</v>
      </c>
      <c r="B90" s="7" t="s">
        <v>379</v>
      </c>
      <c r="C90" s="7" t="s">
        <v>183</v>
      </c>
      <c r="D90" s="30" t="s">
        <v>170</v>
      </c>
      <c r="E90" s="7"/>
      <c r="F90" s="7" t="s">
        <v>800</v>
      </c>
    </row>
    <row r="91" spans="1:6" x14ac:dyDescent="0.55000000000000004">
      <c r="A91" s="32">
        <v>83</v>
      </c>
      <c r="B91" s="31" t="s">
        <v>808</v>
      </c>
      <c r="C91" s="31" t="s">
        <v>440</v>
      </c>
      <c r="D91" s="114" t="s">
        <v>180</v>
      </c>
      <c r="E91" s="31"/>
      <c r="F91" s="31" t="s">
        <v>809</v>
      </c>
    </row>
    <row r="92" spans="1:6" x14ac:dyDescent="0.55000000000000004">
      <c r="A92" s="6">
        <v>84</v>
      </c>
      <c r="B92" s="7" t="s">
        <v>815</v>
      </c>
      <c r="C92" s="7" t="s">
        <v>183</v>
      </c>
      <c r="D92" s="27" t="s">
        <v>191</v>
      </c>
      <c r="E92" s="7"/>
      <c r="F92" s="7" t="s">
        <v>816</v>
      </c>
    </row>
    <row r="93" spans="1:6" x14ac:dyDescent="0.55000000000000004">
      <c r="A93" s="32">
        <v>85</v>
      </c>
      <c r="B93" s="31" t="s">
        <v>822</v>
      </c>
      <c r="C93" s="31" t="s">
        <v>757</v>
      </c>
      <c r="D93" s="27" t="s">
        <v>191</v>
      </c>
      <c r="E93" s="31"/>
      <c r="F93" s="31" t="s">
        <v>823</v>
      </c>
    </row>
    <row r="94" spans="1:6" x14ac:dyDescent="0.55000000000000004">
      <c r="A94" s="6">
        <v>86</v>
      </c>
      <c r="B94" s="7" t="s">
        <v>829</v>
      </c>
      <c r="C94" s="7" t="s">
        <v>173</v>
      </c>
      <c r="D94" s="114" t="s">
        <v>180</v>
      </c>
      <c r="E94" s="7"/>
      <c r="F94" s="7" t="s">
        <v>830</v>
      </c>
    </row>
    <row r="95" spans="1:6" x14ac:dyDescent="0.55000000000000004">
      <c r="A95" s="32">
        <v>87</v>
      </c>
      <c r="B95" s="31" t="s">
        <v>836</v>
      </c>
      <c r="C95" s="31" t="s">
        <v>173</v>
      </c>
      <c r="D95" s="36" t="s">
        <v>320</v>
      </c>
      <c r="E95" s="31"/>
      <c r="F95" s="31" t="s">
        <v>837</v>
      </c>
    </row>
    <row r="96" spans="1:6" x14ac:dyDescent="0.55000000000000004">
      <c r="A96" s="6">
        <v>88</v>
      </c>
      <c r="B96" s="7" t="s">
        <v>843</v>
      </c>
      <c r="C96" s="7" t="s">
        <v>183</v>
      </c>
      <c r="D96" s="27" t="s">
        <v>191</v>
      </c>
      <c r="E96" s="7"/>
      <c r="F96" s="7" t="s">
        <v>844</v>
      </c>
    </row>
    <row r="97" spans="1:6" x14ac:dyDescent="0.55000000000000004">
      <c r="A97" s="32">
        <v>89</v>
      </c>
      <c r="B97" s="31" t="s">
        <v>850</v>
      </c>
      <c r="C97" s="31" t="s">
        <v>183</v>
      </c>
      <c r="D97" s="115" t="s">
        <v>246</v>
      </c>
      <c r="E97" s="31"/>
      <c r="F97" s="31" t="s">
        <v>851</v>
      </c>
    </row>
    <row r="98" spans="1:6" x14ac:dyDescent="0.55000000000000004">
      <c r="A98" s="6">
        <v>90</v>
      </c>
      <c r="B98" s="7" t="s">
        <v>857</v>
      </c>
      <c r="C98" s="7" t="s">
        <v>468</v>
      </c>
      <c r="D98" s="33" t="s">
        <v>361</v>
      </c>
      <c r="E98" s="7"/>
      <c r="F98" s="7" t="s">
        <v>858</v>
      </c>
    </row>
    <row r="99" spans="1:6" x14ac:dyDescent="0.55000000000000004">
      <c r="A99" s="32">
        <v>91</v>
      </c>
      <c r="B99" s="31" t="s">
        <v>864</v>
      </c>
      <c r="C99" s="31" t="s">
        <v>173</v>
      </c>
      <c r="D99" s="42" t="s">
        <v>221</v>
      </c>
      <c r="E99" s="31"/>
      <c r="F99" s="31" t="s">
        <v>865</v>
      </c>
    </row>
    <row r="100" spans="1:6" x14ac:dyDescent="0.55000000000000004">
      <c r="A100" s="6">
        <v>92</v>
      </c>
      <c r="B100" s="7" t="s">
        <v>872</v>
      </c>
      <c r="C100" s="7" t="s">
        <v>264</v>
      </c>
      <c r="D100" s="42" t="s">
        <v>221</v>
      </c>
      <c r="E100" s="7"/>
      <c r="F100" s="7" t="s">
        <v>873</v>
      </c>
    </row>
    <row r="101" spans="1:6" x14ac:dyDescent="0.55000000000000004">
      <c r="A101" s="32">
        <v>93</v>
      </c>
      <c r="B101" s="31" t="s">
        <v>880</v>
      </c>
      <c r="C101" s="31" t="s">
        <v>480</v>
      </c>
      <c r="D101" s="114" t="s">
        <v>180</v>
      </c>
      <c r="E101" s="31"/>
      <c r="F101" s="31" t="s">
        <v>881</v>
      </c>
    </row>
    <row r="102" spans="1:6" x14ac:dyDescent="0.55000000000000004">
      <c r="A102" s="6">
        <v>94</v>
      </c>
      <c r="B102" s="7" t="s">
        <v>888</v>
      </c>
      <c r="C102" s="7" t="s">
        <v>183</v>
      </c>
      <c r="D102" s="33" t="s">
        <v>361</v>
      </c>
      <c r="E102" s="7"/>
      <c r="F102" s="7" t="s">
        <v>889</v>
      </c>
    </row>
    <row r="103" spans="1:6" x14ac:dyDescent="0.55000000000000004">
      <c r="A103" s="32">
        <v>95</v>
      </c>
      <c r="B103" s="31" t="s">
        <v>895</v>
      </c>
      <c r="C103" s="31" t="s">
        <v>897</v>
      </c>
      <c r="D103" s="36" t="s">
        <v>320</v>
      </c>
      <c r="E103" s="31"/>
      <c r="F103" s="31" t="s">
        <v>896</v>
      </c>
    </row>
    <row r="104" spans="1:6" x14ac:dyDescent="0.55000000000000004">
      <c r="A104" s="6">
        <v>96</v>
      </c>
      <c r="B104" s="7" t="s">
        <v>904</v>
      </c>
      <c r="C104" s="7" t="s">
        <v>173</v>
      </c>
      <c r="D104" s="42" t="s">
        <v>221</v>
      </c>
      <c r="E104" s="7"/>
      <c r="F104" s="7" t="s">
        <v>905</v>
      </c>
    </row>
    <row r="105" spans="1:6" x14ac:dyDescent="0.55000000000000004">
      <c r="A105" s="32">
        <v>97</v>
      </c>
      <c r="B105" s="31" t="s">
        <v>912</v>
      </c>
      <c r="C105" s="31" t="s">
        <v>914</v>
      </c>
      <c r="D105" s="33" t="s">
        <v>361</v>
      </c>
      <c r="E105" s="31"/>
      <c r="F105" s="31" t="s">
        <v>913</v>
      </c>
    </row>
    <row r="106" spans="1:6" x14ac:dyDescent="0.55000000000000004">
      <c r="A106" s="6">
        <v>98</v>
      </c>
      <c r="B106" s="7" t="s">
        <v>921</v>
      </c>
      <c r="C106" s="7" t="s">
        <v>307</v>
      </c>
      <c r="D106" s="33" t="s">
        <v>361</v>
      </c>
      <c r="E106" s="7"/>
      <c r="F106" s="7" t="s">
        <v>922</v>
      </c>
    </row>
    <row r="107" spans="1:6" x14ac:dyDescent="0.55000000000000004">
      <c r="A107" s="32">
        <v>99</v>
      </c>
      <c r="B107" s="31" t="s">
        <v>927</v>
      </c>
      <c r="C107" s="31" t="s">
        <v>183</v>
      </c>
      <c r="D107" s="27" t="s">
        <v>191</v>
      </c>
      <c r="E107" s="31"/>
      <c r="F107" s="31" t="s">
        <v>928</v>
      </c>
    </row>
    <row r="108" spans="1:6" x14ac:dyDescent="0.55000000000000004">
      <c r="A108" s="6">
        <v>100</v>
      </c>
      <c r="B108" s="7" t="s">
        <v>934</v>
      </c>
      <c r="C108" s="7" t="s">
        <v>183</v>
      </c>
      <c r="D108" s="115" t="s">
        <v>246</v>
      </c>
      <c r="E108" s="7"/>
      <c r="F108" s="7" t="s">
        <v>935</v>
      </c>
    </row>
    <row r="109" spans="1:6" x14ac:dyDescent="0.55000000000000004">
      <c r="A109" s="32">
        <v>101</v>
      </c>
      <c r="B109" s="31" t="s">
        <v>940</v>
      </c>
      <c r="C109" s="31" t="s">
        <v>183</v>
      </c>
      <c r="D109" s="17" t="s">
        <v>202</v>
      </c>
      <c r="E109" s="31"/>
      <c r="F109" s="31" t="s">
        <v>941</v>
      </c>
    </row>
    <row r="110" spans="1:6" x14ac:dyDescent="0.55000000000000004">
      <c r="A110" s="6">
        <v>102</v>
      </c>
      <c r="B110" s="7" t="s">
        <v>949</v>
      </c>
      <c r="C110" s="7" t="s">
        <v>951</v>
      </c>
      <c r="D110" s="17" t="s">
        <v>202</v>
      </c>
      <c r="E110" s="7"/>
      <c r="F110" s="7" t="s">
        <v>950</v>
      </c>
    </row>
    <row r="111" spans="1:6" x14ac:dyDescent="0.55000000000000004">
      <c r="A111" s="32">
        <v>103</v>
      </c>
      <c r="B111" s="31" t="s">
        <v>958</v>
      </c>
      <c r="C111" s="31" t="s">
        <v>914</v>
      </c>
      <c r="D111" s="36" t="s">
        <v>320</v>
      </c>
      <c r="E111" s="31"/>
      <c r="F111" s="31" t="s">
        <v>959</v>
      </c>
    </row>
    <row r="112" spans="1:6" x14ac:dyDescent="0.55000000000000004">
      <c r="A112" s="6">
        <v>104</v>
      </c>
      <c r="B112" s="7" t="s">
        <v>966</v>
      </c>
      <c r="C112" s="7" t="s">
        <v>183</v>
      </c>
      <c r="D112" s="115" t="s">
        <v>246</v>
      </c>
      <c r="E112" s="7"/>
      <c r="F112" s="7" t="s">
        <v>967</v>
      </c>
    </row>
    <row r="113" spans="1:6" x14ac:dyDescent="0.55000000000000004">
      <c r="A113" s="32">
        <v>105</v>
      </c>
      <c r="B113" s="31" t="s">
        <v>973</v>
      </c>
      <c r="C113" s="31" t="s">
        <v>975</v>
      </c>
      <c r="D113" s="42" t="s">
        <v>221</v>
      </c>
      <c r="E113" s="31"/>
      <c r="F113" s="31" t="s">
        <v>974</v>
      </c>
    </row>
    <row r="114" spans="1:6" x14ac:dyDescent="0.55000000000000004">
      <c r="A114" s="6">
        <v>106</v>
      </c>
      <c r="B114" s="7" t="s">
        <v>982</v>
      </c>
      <c r="C114" s="7" t="s">
        <v>505</v>
      </c>
      <c r="D114" s="17" t="s">
        <v>202</v>
      </c>
      <c r="E114" s="7"/>
      <c r="F114" s="7" t="s">
        <v>983</v>
      </c>
    </row>
    <row r="115" spans="1:6" x14ac:dyDescent="0.55000000000000004">
      <c r="A115" s="32">
        <v>107</v>
      </c>
      <c r="B115" s="31" t="s">
        <v>989</v>
      </c>
      <c r="C115" s="31" t="s">
        <v>480</v>
      </c>
      <c r="D115" s="36" t="s">
        <v>320</v>
      </c>
      <c r="E115" s="31"/>
      <c r="F115" s="31" t="s">
        <v>990</v>
      </c>
    </row>
    <row r="116" spans="1:6" x14ac:dyDescent="0.55000000000000004">
      <c r="A116" s="6">
        <v>108</v>
      </c>
      <c r="B116" s="7" t="s">
        <v>994</v>
      </c>
      <c r="C116" s="7" t="s">
        <v>757</v>
      </c>
      <c r="D116" s="36" t="s">
        <v>320</v>
      </c>
      <c r="E116" s="7"/>
      <c r="F116" s="7" t="s">
        <v>995</v>
      </c>
    </row>
    <row r="118" spans="1:6" x14ac:dyDescent="0.55000000000000004">
      <c r="A118" s="185" t="s">
        <v>1232</v>
      </c>
      <c r="B118" s="121"/>
      <c r="C118" s="121"/>
      <c r="D118" s="121"/>
      <c r="E118" s="121"/>
      <c r="F118" s="121"/>
    </row>
    <row r="119" spans="1:6" x14ac:dyDescent="0.55000000000000004">
      <c r="A119" s="45" t="s">
        <v>1227</v>
      </c>
      <c r="B119" s="45" t="s">
        <v>1228</v>
      </c>
      <c r="C119" s="45" t="s">
        <v>148</v>
      </c>
      <c r="D119" s="45" t="s">
        <v>156</v>
      </c>
      <c r="E119" s="45" t="s">
        <v>1229</v>
      </c>
      <c r="F119" s="45" t="s">
        <v>147</v>
      </c>
    </row>
    <row r="120" spans="1:6" x14ac:dyDescent="0.55000000000000004">
      <c r="A120" s="32">
        <v>109</v>
      </c>
      <c r="B120" s="31" t="s">
        <v>1000</v>
      </c>
      <c r="C120" s="31" t="s">
        <v>183</v>
      </c>
      <c r="D120" s="114" t="s">
        <v>180</v>
      </c>
      <c r="E120" s="31"/>
      <c r="F120" s="31" t="s">
        <v>1001</v>
      </c>
    </row>
    <row r="121" spans="1:6" x14ac:dyDescent="0.55000000000000004">
      <c r="A121" s="6">
        <v>110</v>
      </c>
      <c r="B121" s="7" t="s">
        <v>1007</v>
      </c>
      <c r="C121" s="7" t="s">
        <v>1009</v>
      </c>
      <c r="D121" s="17" t="s">
        <v>202</v>
      </c>
      <c r="E121" s="7"/>
      <c r="F121" s="7" t="s">
        <v>1008</v>
      </c>
    </row>
    <row r="122" spans="1:6" x14ac:dyDescent="0.55000000000000004">
      <c r="A122" s="32">
        <v>111</v>
      </c>
      <c r="B122" s="31" t="s">
        <v>1016</v>
      </c>
      <c r="C122" s="31" t="s">
        <v>505</v>
      </c>
      <c r="D122" s="114" t="s">
        <v>180</v>
      </c>
      <c r="E122" s="31"/>
      <c r="F122" s="31" t="s">
        <v>1017</v>
      </c>
    </row>
    <row r="123" spans="1:6" x14ac:dyDescent="0.55000000000000004">
      <c r="A123" s="6">
        <v>112</v>
      </c>
      <c r="B123" s="7" t="s">
        <v>1021</v>
      </c>
      <c r="C123" s="7" t="s">
        <v>173</v>
      </c>
      <c r="D123" s="24" t="s">
        <v>212</v>
      </c>
      <c r="E123" s="7"/>
      <c r="F123" s="7" t="s">
        <v>1022</v>
      </c>
    </row>
    <row r="124" spans="1:6" x14ac:dyDescent="0.55000000000000004">
      <c r="A124" s="32">
        <v>113</v>
      </c>
      <c r="B124" s="31" t="s">
        <v>1029</v>
      </c>
      <c r="C124" s="31" t="s">
        <v>183</v>
      </c>
      <c r="D124" s="17" t="s">
        <v>202</v>
      </c>
      <c r="E124" s="31"/>
      <c r="F124" s="31" t="s">
        <v>1030</v>
      </c>
    </row>
    <row r="125" spans="1:6" x14ac:dyDescent="0.55000000000000004">
      <c r="A125" s="6">
        <v>114</v>
      </c>
      <c r="B125" s="7" t="s">
        <v>1035</v>
      </c>
      <c r="C125" s="7" t="s">
        <v>183</v>
      </c>
      <c r="D125" s="24" t="s">
        <v>212</v>
      </c>
      <c r="E125" s="7"/>
      <c r="F125" s="7" t="s">
        <v>1036</v>
      </c>
    </row>
    <row r="126" spans="1:6" x14ac:dyDescent="0.55000000000000004">
      <c r="A126" s="32">
        <v>115</v>
      </c>
      <c r="B126" s="31" t="s">
        <v>1040</v>
      </c>
      <c r="C126" s="31" t="s">
        <v>183</v>
      </c>
      <c r="D126" s="30" t="s">
        <v>170</v>
      </c>
      <c r="E126" s="31"/>
      <c r="F126" s="31" t="s">
        <v>1041</v>
      </c>
    </row>
    <row r="127" spans="1:6" x14ac:dyDescent="0.55000000000000004">
      <c r="A127" s="6">
        <v>116</v>
      </c>
      <c r="B127" s="7" t="s">
        <v>1048</v>
      </c>
      <c r="C127" s="7" t="s">
        <v>1050</v>
      </c>
      <c r="D127" s="17" t="s">
        <v>202</v>
      </c>
      <c r="E127" s="7"/>
      <c r="F127" s="7" t="s">
        <v>1049</v>
      </c>
    </row>
    <row r="128" spans="1:6" x14ac:dyDescent="0.55000000000000004">
      <c r="A128" s="32">
        <v>117</v>
      </c>
      <c r="B128" s="31" t="s">
        <v>1056</v>
      </c>
      <c r="C128" s="31" t="s">
        <v>183</v>
      </c>
      <c r="D128" s="24" t="s">
        <v>212</v>
      </c>
      <c r="E128" s="31"/>
      <c r="F128" s="31" t="s">
        <v>1057</v>
      </c>
    </row>
    <row r="129" spans="1:6" x14ac:dyDescent="0.55000000000000004">
      <c r="A129" s="6">
        <v>118</v>
      </c>
      <c r="B129" s="7" t="s">
        <v>1061</v>
      </c>
      <c r="C129" s="7" t="s">
        <v>183</v>
      </c>
      <c r="D129" s="36" t="s">
        <v>320</v>
      </c>
      <c r="E129" s="7"/>
      <c r="F129" s="7" t="s">
        <v>1062</v>
      </c>
    </row>
    <row r="130" spans="1:6" x14ac:dyDescent="0.55000000000000004">
      <c r="A130" s="32">
        <v>119</v>
      </c>
      <c r="B130" s="31" t="s">
        <v>1070</v>
      </c>
      <c r="C130" s="31" t="s">
        <v>480</v>
      </c>
      <c r="D130" s="36" t="s">
        <v>320</v>
      </c>
      <c r="E130" s="31"/>
      <c r="F130" s="31" t="s">
        <v>1071</v>
      </c>
    </row>
    <row r="131" spans="1:6" x14ac:dyDescent="0.55000000000000004">
      <c r="A131" s="6">
        <v>120</v>
      </c>
      <c r="B131" s="7" t="s">
        <v>1079</v>
      </c>
      <c r="C131" s="7" t="s">
        <v>291</v>
      </c>
      <c r="D131" s="27" t="s">
        <v>191</v>
      </c>
      <c r="E131" s="7"/>
      <c r="F131" s="7" t="s">
        <v>290</v>
      </c>
    </row>
    <row r="132" spans="1:6" x14ac:dyDescent="0.55000000000000004">
      <c r="A132" s="32">
        <v>121</v>
      </c>
      <c r="B132" s="31" t="s">
        <v>1083</v>
      </c>
      <c r="C132" s="31" t="s">
        <v>468</v>
      </c>
      <c r="D132" s="17" t="s">
        <v>202</v>
      </c>
      <c r="E132" s="31"/>
      <c r="F132" s="31" t="s">
        <v>1084</v>
      </c>
    </row>
    <row r="133" spans="1:6" x14ac:dyDescent="0.55000000000000004">
      <c r="A133" s="6">
        <v>122</v>
      </c>
      <c r="B133" s="7" t="s">
        <v>1091</v>
      </c>
      <c r="C133" s="7" t="s">
        <v>183</v>
      </c>
      <c r="D133" s="33" t="s">
        <v>361</v>
      </c>
      <c r="E133" s="7"/>
      <c r="F133" s="7" t="s">
        <v>1092</v>
      </c>
    </row>
    <row r="134" spans="1:6" x14ac:dyDescent="0.55000000000000004">
      <c r="A134" s="32">
        <v>123</v>
      </c>
      <c r="B134" s="31" t="s">
        <v>1098</v>
      </c>
      <c r="C134" s="31" t="s">
        <v>183</v>
      </c>
      <c r="D134" s="30" t="s">
        <v>170</v>
      </c>
      <c r="E134" s="31"/>
      <c r="F134" s="31" t="s">
        <v>1099</v>
      </c>
    </row>
    <row r="135" spans="1:6" x14ac:dyDescent="0.55000000000000004">
      <c r="A135" s="6">
        <v>124</v>
      </c>
      <c r="B135" s="7" t="s">
        <v>1106</v>
      </c>
      <c r="C135" s="7" t="s">
        <v>183</v>
      </c>
      <c r="D135" s="27" t="s">
        <v>191</v>
      </c>
      <c r="E135" s="7"/>
      <c r="F135" s="7" t="s">
        <v>1107</v>
      </c>
    </row>
    <row r="136" spans="1:6" x14ac:dyDescent="0.55000000000000004">
      <c r="A136" s="32">
        <v>125</v>
      </c>
      <c r="B136" s="31" t="s">
        <v>1115</v>
      </c>
      <c r="C136" s="31" t="s">
        <v>183</v>
      </c>
      <c r="D136" s="27" t="s">
        <v>191</v>
      </c>
      <c r="E136" s="31"/>
      <c r="F136" s="31" t="s">
        <v>1116</v>
      </c>
    </row>
    <row r="137" spans="1:6" x14ac:dyDescent="0.55000000000000004">
      <c r="A137" s="6">
        <v>126</v>
      </c>
      <c r="B137" s="7" t="s">
        <v>1123</v>
      </c>
      <c r="C137" s="7" t="s">
        <v>183</v>
      </c>
      <c r="D137" s="30" t="s">
        <v>170</v>
      </c>
      <c r="E137" s="7"/>
      <c r="F137" s="7" t="s">
        <v>1124</v>
      </c>
    </row>
    <row r="138" spans="1:6" x14ac:dyDescent="0.55000000000000004">
      <c r="A138" s="32">
        <v>127</v>
      </c>
      <c r="B138" s="31" t="s">
        <v>1130</v>
      </c>
      <c r="C138" s="31" t="s">
        <v>183</v>
      </c>
      <c r="D138" s="33" t="s">
        <v>361</v>
      </c>
      <c r="E138" s="31"/>
      <c r="F138" s="31" t="s">
        <v>1131</v>
      </c>
    </row>
    <row r="139" spans="1:6" x14ac:dyDescent="0.55000000000000004">
      <c r="A139" s="6">
        <v>128</v>
      </c>
      <c r="B139" s="7" t="s">
        <v>1137</v>
      </c>
      <c r="C139" s="7" t="s">
        <v>173</v>
      </c>
      <c r="D139" s="33" t="s">
        <v>361</v>
      </c>
      <c r="E139" s="7"/>
      <c r="F139" s="7" t="s">
        <v>1138</v>
      </c>
    </row>
    <row r="140" spans="1:6" x14ac:dyDescent="0.55000000000000004">
      <c r="A140" s="32">
        <v>129</v>
      </c>
      <c r="B140" s="31" t="s">
        <v>1144</v>
      </c>
      <c r="C140" s="31" t="s">
        <v>440</v>
      </c>
      <c r="D140" s="17" t="s">
        <v>202</v>
      </c>
      <c r="E140" s="31"/>
      <c r="F140" s="31" t="s">
        <v>1145</v>
      </c>
    </row>
    <row r="141" spans="1:6" x14ac:dyDescent="0.55000000000000004">
      <c r="A141" s="6">
        <v>130</v>
      </c>
      <c r="B141" s="7" t="s">
        <v>952</v>
      </c>
      <c r="C141" s="7" t="s">
        <v>173</v>
      </c>
      <c r="D141" s="36" t="s">
        <v>320</v>
      </c>
      <c r="E141" s="7"/>
      <c r="F141" s="7" t="s">
        <v>1151</v>
      </c>
    </row>
    <row r="142" spans="1:6" x14ac:dyDescent="0.55000000000000004">
      <c r="A142" s="32">
        <v>131</v>
      </c>
      <c r="B142" s="31" t="s">
        <v>1153</v>
      </c>
      <c r="C142" s="31" t="s">
        <v>183</v>
      </c>
      <c r="D142" s="30" t="s">
        <v>170</v>
      </c>
      <c r="E142" s="31"/>
      <c r="F142" s="31" t="s">
        <v>1154</v>
      </c>
    </row>
    <row r="143" spans="1:6" x14ac:dyDescent="0.55000000000000004">
      <c r="A143" s="6">
        <v>132</v>
      </c>
      <c r="B143" s="7" t="s">
        <v>1160</v>
      </c>
      <c r="C143" s="7" t="s">
        <v>1162</v>
      </c>
      <c r="D143" s="36" t="s">
        <v>320</v>
      </c>
      <c r="E143" s="7"/>
      <c r="F143" s="7" t="s">
        <v>1161</v>
      </c>
    </row>
    <row r="144" spans="1:6" x14ac:dyDescent="0.55000000000000004">
      <c r="A144" s="32">
        <v>133</v>
      </c>
      <c r="B144" s="31" t="s">
        <v>1168</v>
      </c>
      <c r="C144" s="31" t="s">
        <v>541</v>
      </c>
      <c r="D144" s="30" t="s">
        <v>170</v>
      </c>
      <c r="E144" s="31"/>
      <c r="F144" s="31" t="s">
        <v>1169</v>
      </c>
    </row>
    <row r="145" spans="1:6" x14ac:dyDescent="0.55000000000000004">
      <c r="A145" s="6">
        <v>134</v>
      </c>
      <c r="B145" s="7" t="s">
        <v>1174</v>
      </c>
      <c r="C145" s="7" t="s">
        <v>1176</v>
      </c>
      <c r="D145" s="30" t="s">
        <v>170</v>
      </c>
      <c r="E145" s="7"/>
      <c r="F145" s="7" t="s">
        <v>1175</v>
      </c>
    </row>
    <row r="146" spans="1:6" x14ac:dyDescent="0.55000000000000004">
      <c r="A146" s="32">
        <v>135</v>
      </c>
      <c r="B146" s="31" t="s">
        <v>1183</v>
      </c>
      <c r="C146" s="31" t="s">
        <v>307</v>
      </c>
      <c r="D146" s="115" t="s">
        <v>246</v>
      </c>
      <c r="E146" s="31"/>
      <c r="F146" s="31" t="s">
        <v>1184</v>
      </c>
    </row>
    <row r="147" spans="1:6" x14ac:dyDescent="0.55000000000000004">
      <c r="A147" s="6">
        <v>136</v>
      </c>
      <c r="B147" s="7" t="s">
        <v>1191</v>
      </c>
      <c r="C147" s="7" t="s">
        <v>183</v>
      </c>
      <c r="D147" s="36" t="s">
        <v>320</v>
      </c>
      <c r="E147" s="7"/>
      <c r="F147" s="7" t="s">
        <v>1192</v>
      </c>
    </row>
    <row r="148" spans="1:6" x14ac:dyDescent="0.55000000000000004">
      <c r="A148" s="32">
        <v>137</v>
      </c>
      <c r="B148" s="31" t="s">
        <v>1198</v>
      </c>
      <c r="C148" s="31" t="s">
        <v>173</v>
      </c>
      <c r="D148" s="36" t="s">
        <v>320</v>
      </c>
      <c r="E148" s="31"/>
      <c r="F148" s="31" t="s">
        <v>1199</v>
      </c>
    </row>
    <row r="149" spans="1:6" x14ac:dyDescent="0.55000000000000004">
      <c r="A149" s="6">
        <v>138</v>
      </c>
      <c r="B149" s="7" t="s">
        <v>1206</v>
      </c>
      <c r="C149" s="7" t="s">
        <v>173</v>
      </c>
      <c r="D149" s="27" t="s">
        <v>191</v>
      </c>
      <c r="E149" s="7"/>
      <c r="F149" s="7" t="s">
        <v>1207</v>
      </c>
    </row>
    <row r="150" spans="1:6" x14ac:dyDescent="0.55000000000000004">
      <c r="A150" s="32">
        <v>139</v>
      </c>
      <c r="B150" s="31" t="s">
        <v>1213</v>
      </c>
      <c r="C150" s="31" t="s">
        <v>519</v>
      </c>
      <c r="D150" s="33" t="s">
        <v>361</v>
      </c>
      <c r="E150" s="31"/>
      <c r="F150" s="31" t="s">
        <v>1214</v>
      </c>
    </row>
    <row r="151" spans="1:6" x14ac:dyDescent="0.55000000000000004">
      <c r="A151" s="6">
        <v>140</v>
      </c>
      <c r="B151" s="7" t="s">
        <v>1218</v>
      </c>
      <c r="C151" s="7" t="s">
        <v>1220</v>
      </c>
      <c r="D151" s="17" t="s">
        <v>202</v>
      </c>
      <c r="E151" s="7"/>
      <c r="F151" s="7" t="s">
        <v>1219</v>
      </c>
    </row>
    <row r="152" spans="1:6" x14ac:dyDescent="0.55000000000000004">
      <c r="A152" s="32">
        <v>141</v>
      </c>
      <c r="B152" s="31" t="s">
        <v>772</v>
      </c>
      <c r="C152" s="31" t="s">
        <v>183</v>
      </c>
      <c r="D152" s="39" t="s">
        <v>246</v>
      </c>
      <c r="E152" s="31"/>
      <c r="F152" s="31" t="s">
        <v>773</v>
      </c>
    </row>
    <row r="153" spans="1:6" x14ac:dyDescent="0.55000000000000004">
      <c r="A153" s="6">
        <v>142</v>
      </c>
      <c r="B153" s="7" t="s">
        <v>808</v>
      </c>
      <c r="C153" s="7" t="s">
        <v>440</v>
      </c>
      <c r="D153" s="24" t="s">
        <v>212</v>
      </c>
      <c r="E153" s="7"/>
      <c r="F153" s="7" t="s">
        <v>809</v>
      </c>
    </row>
    <row r="154" spans="1:6" x14ac:dyDescent="0.55000000000000004">
      <c r="A154" s="32">
        <v>143</v>
      </c>
      <c r="B154" s="31" t="s">
        <v>940</v>
      </c>
      <c r="C154" s="31" t="s">
        <v>183</v>
      </c>
      <c r="D154" s="24" t="s">
        <v>212</v>
      </c>
      <c r="E154" s="31"/>
      <c r="F154" s="31" t="s">
        <v>941</v>
      </c>
    </row>
    <row r="155" spans="1:6" x14ac:dyDescent="0.55000000000000004">
      <c r="A155" s="6">
        <v>144</v>
      </c>
      <c r="B155" s="7" t="s">
        <v>1144</v>
      </c>
      <c r="C155" s="7" t="s">
        <v>440</v>
      </c>
      <c r="D155" s="36" t="s">
        <v>320</v>
      </c>
      <c r="E155" s="7"/>
      <c r="F155" s="7" t="s">
        <v>1145</v>
      </c>
    </row>
  </sheetData>
  <mergeCells count="4">
    <mergeCell ref="A79:F79"/>
    <mergeCell ref="A1:F1"/>
    <mergeCell ref="A118:F118"/>
    <mergeCell ref="A40:F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9"/>
  <sheetViews>
    <sheetView workbookViewId="0"/>
  </sheetViews>
  <sheetFormatPr defaultRowHeight="14.4" x14ac:dyDescent="0.55000000000000004"/>
  <cols>
    <col min="1" max="1" width="6" customWidth="1"/>
    <col min="2" max="2" width="7" customWidth="1"/>
    <col min="3" max="3" width="38" customWidth="1"/>
    <col min="4" max="4" width="14" customWidth="1"/>
    <col min="5" max="5" width="7" customWidth="1"/>
    <col min="6" max="6" width="38" customWidth="1"/>
    <col min="7" max="7" width="14" customWidth="1"/>
  </cols>
  <sheetData>
    <row r="1" spans="1:7" ht="15.3" customHeight="1" x14ac:dyDescent="0.55000000000000004">
      <c r="A1" s="187" t="s">
        <v>1233</v>
      </c>
      <c r="B1" s="121"/>
      <c r="C1" s="121"/>
      <c r="D1" s="121"/>
      <c r="E1" s="121"/>
      <c r="F1" s="121"/>
      <c r="G1" s="121"/>
    </row>
    <row r="2" spans="1:7" x14ac:dyDescent="0.55000000000000004">
      <c r="A2" s="46" t="s">
        <v>1234</v>
      </c>
      <c r="B2" s="46" t="s">
        <v>1235</v>
      </c>
      <c r="C2" s="46" t="s">
        <v>141</v>
      </c>
      <c r="D2" s="46" t="s">
        <v>156</v>
      </c>
      <c r="E2" s="46" t="s">
        <v>1236</v>
      </c>
      <c r="F2" s="46" t="s">
        <v>1237</v>
      </c>
      <c r="G2" s="46" t="s">
        <v>1238</v>
      </c>
    </row>
    <row r="3" spans="1:7" x14ac:dyDescent="0.55000000000000004">
      <c r="A3" s="6">
        <v>1</v>
      </c>
      <c r="B3" s="6">
        <v>7</v>
      </c>
      <c r="C3" s="7" t="s">
        <v>222</v>
      </c>
      <c r="D3" s="42" t="s">
        <v>221</v>
      </c>
      <c r="E3" s="6">
        <v>16</v>
      </c>
      <c r="F3" s="7" t="s">
        <v>298</v>
      </c>
      <c r="G3" s="30" t="s">
        <v>170</v>
      </c>
    </row>
    <row r="4" spans="1:7" x14ac:dyDescent="0.55000000000000004">
      <c r="A4" s="2">
        <v>2</v>
      </c>
      <c r="B4" s="2">
        <v>8</v>
      </c>
      <c r="C4" s="3" t="s">
        <v>229</v>
      </c>
      <c r="D4" s="24" t="s">
        <v>212</v>
      </c>
      <c r="E4" s="2">
        <v>40</v>
      </c>
      <c r="F4" s="3" t="s">
        <v>487</v>
      </c>
      <c r="G4" s="42" t="s">
        <v>221</v>
      </c>
    </row>
    <row r="5" spans="1:7" x14ac:dyDescent="0.55000000000000004">
      <c r="A5" s="6">
        <v>3</v>
      </c>
      <c r="B5" s="6">
        <v>19</v>
      </c>
      <c r="C5" s="7" t="s">
        <v>321</v>
      </c>
      <c r="D5" s="17" t="s">
        <v>202</v>
      </c>
      <c r="E5" s="6">
        <v>71</v>
      </c>
      <c r="F5" s="7" t="s">
        <v>719</v>
      </c>
      <c r="G5" s="30" t="s">
        <v>170</v>
      </c>
    </row>
    <row r="6" spans="1:7" x14ac:dyDescent="0.55000000000000004">
      <c r="A6" s="2">
        <v>4</v>
      </c>
      <c r="B6" s="2">
        <v>12</v>
      </c>
      <c r="C6" s="3" t="s">
        <v>262</v>
      </c>
      <c r="D6" s="115" t="s">
        <v>246</v>
      </c>
      <c r="E6" s="2">
        <v>92</v>
      </c>
      <c r="F6" s="3" t="s">
        <v>872</v>
      </c>
      <c r="G6" s="42" t="s">
        <v>221</v>
      </c>
    </row>
    <row r="7" spans="1:7" x14ac:dyDescent="0.55000000000000004">
      <c r="A7" s="6">
        <v>5</v>
      </c>
      <c r="B7" s="6">
        <v>93</v>
      </c>
      <c r="C7" s="7" t="s">
        <v>880</v>
      </c>
      <c r="D7" s="114" t="s">
        <v>180</v>
      </c>
      <c r="E7" s="6">
        <v>119</v>
      </c>
      <c r="F7" s="7" t="s">
        <v>1070</v>
      </c>
      <c r="G7" s="36" t="s">
        <v>320</v>
      </c>
    </row>
    <row r="8" spans="1:7" x14ac:dyDescent="0.55000000000000004">
      <c r="A8" s="2">
        <v>6</v>
      </c>
      <c r="B8" s="2">
        <v>21</v>
      </c>
      <c r="C8" s="3" t="s">
        <v>337</v>
      </c>
      <c r="D8" s="27" t="s">
        <v>191</v>
      </c>
      <c r="E8" s="2">
        <v>105</v>
      </c>
      <c r="F8" s="3" t="s">
        <v>973</v>
      </c>
      <c r="G8" s="42" t="s">
        <v>221</v>
      </c>
    </row>
    <row r="9" spans="1:7" x14ac:dyDescent="0.55000000000000004">
      <c r="A9" s="6">
        <v>7</v>
      </c>
      <c r="B9" s="6">
        <v>91</v>
      </c>
      <c r="C9" s="7" t="s">
        <v>864</v>
      </c>
      <c r="D9" s="42" t="s">
        <v>221</v>
      </c>
      <c r="E9" s="6">
        <v>137</v>
      </c>
      <c r="F9" s="7" t="s">
        <v>1198</v>
      </c>
      <c r="G9" s="36" t="s">
        <v>320</v>
      </c>
    </row>
    <row r="10" spans="1:7" x14ac:dyDescent="0.55000000000000004">
      <c r="A10" s="2">
        <v>8</v>
      </c>
      <c r="B10" s="2">
        <v>32</v>
      </c>
      <c r="C10" s="3" t="s">
        <v>421</v>
      </c>
      <c r="D10" s="114" t="s">
        <v>180</v>
      </c>
      <c r="E10" s="2">
        <v>33</v>
      </c>
      <c r="F10" s="3" t="s">
        <v>430</v>
      </c>
      <c r="G10" s="30" t="s">
        <v>170</v>
      </c>
    </row>
    <row r="11" spans="1:7" x14ac:dyDescent="0.55000000000000004">
      <c r="A11" s="6">
        <v>9</v>
      </c>
      <c r="B11" s="6">
        <v>26</v>
      </c>
      <c r="C11" s="7" t="s">
        <v>377</v>
      </c>
      <c r="D11" s="42" t="s">
        <v>221</v>
      </c>
      <c r="E11" s="6">
        <v>82</v>
      </c>
      <c r="F11" s="7" t="s">
        <v>379</v>
      </c>
      <c r="G11" s="30" t="s">
        <v>170</v>
      </c>
    </row>
    <row r="12" spans="1:7" x14ac:dyDescent="0.55000000000000004">
      <c r="A12" s="2">
        <v>10</v>
      </c>
      <c r="B12" s="2">
        <v>3</v>
      </c>
      <c r="C12" s="3" t="s">
        <v>181</v>
      </c>
      <c r="D12" s="27" t="s">
        <v>191</v>
      </c>
      <c r="E12" s="2">
        <v>100</v>
      </c>
      <c r="F12" s="3" t="s">
        <v>934</v>
      </c>
      <c r="G12" s="115" t="s">
        <v>246</v>
      </c>
    </row>
    <row r="13" spans="1:7" x14ac:dyDescent="0.55000000000000004">
      <c r="A13" s="6">
        <v>11</v>
      </c>
      <c r="B13" s="6">
        <v>136</v>
      </c>
      <c r="C13" s="7" t="s">
        <v>1198</v>
      </c>
      <c r="D13" s="42" t="s">
        <v>221</v>
      </c>
      <c r="E13" s="6">
        <v>93</v>
      </c>
      <c r="F13" s="7" t="s">
        <v>864</v>
      </c>
      <c r="G13" s="33" t="s">
        <v>361</v>
      </c>
    </row>
    <row r="14" spans="1:7" x14ac:dyDescent="0.55000000000000004">
      <c r="A14" s="2">
        <v>12</v>
      </c>
      <c r="B14" s="2">
        <v>1</v>
      </c>
      <c r="C14" s="3" t="s">
        <v>158</v>
      </c>
      <c r="D14" s="24" t="s">
        <v>212</v>
      </c>
      <c r="E14" s="2">
        <v>37</v>
      </c>
      <c r="F14" s="3" t="s">
        <v>474</v>
      </c>
      <c r="G14" s="42" t="s">
        <v>221</v>
      </c>
    </row>
    <row r="15" spans="1:7" x14ac:dyDescent="0.55000000000000004">
      <c r="A15" s="6">
        <v>13</v>
      </c>
      <c r="B15" s="6">
        <v>32</v>
      </c>
      <c r="C15" s="7" t="s">
        <v>421</v>
      </c>
      <c r="D15" s="36" t="s">
        <v>320</v>
      </c>
      <c r="E15" s="6">
        <v>33</v>
      </c>
      <c r="F15" s="7" t="s">
        <v>430</v>
      </c>
      <c r="G15" s="21" t="s">
        <v>180</v>
      </c>
    </row>
    <row r="16" spans="1:7" x14ac:dyDescent="0.55000000000000004">
      <c r="A16" s="2">
        <v>14</v>
      </c>
      <c r="B16" s="2">
        <v>36</v>
      </c>
      <c r="C16" s="3" t="s">
        <v>457</v>
      </c>
      <c r="D16" s="36" t="s">
        <v>320</v>
      </c>
      <c r="E16" s="2">
        <v>122</v>
      </c>
      <c r="F16" s="3" t="s">
        <v>1098</v>
      </c>
      <c r="G16" s="30" t="s">
        <v>170</v>
      </c>
    </row>
    <row r="17" spans="1:7" x14ac:dyDescent="0.55000000000000004">
      <c r="A17" s="6">
        <v>15</v>
      </c>
      <c r="B17" s="6">
        <v>17</v>
      </c>
      <c r="C17" s="7" t="s">
        <v>377</v>
      </c>
      <c r="D17" s="27" t="s">
        <v>191</v>
      </c>
      <c r="E17" s="6">
        <v>83</v>
      </c>
      <c r="F17" s="7" t="s">
        <v>379</v>
      </c>
      <c r="G17" s="24" t="s">
        <v>212</v>
      </c>
    </row>
    <row r="18" spans="1:7" x14ac:dyDescent="0.55000000000000004">
      <c r="A18" s="2">
        <v>16</v>
      </c>
      <c r="B18" s="2">
        <v>133</v>
      </c>
      <c r="C18" s="3" t="s">
        <v>1239</v>
      </c>
      <c r="D18" s="24" t="s">
        <v>212</v>
      </c>
      <c r="E18" s="2">
        <v>47</v>
      </c>
      <c r="F18" s="3" t="s">
        <v>1240</v>
      </c>
      <c r="G18" s="33" t="s">
        <v>361</v>
      </c>
    </row>
    <row r="20" spans="1:7" x14ac:dyDescent="0.55000000000000004">
      <c r="A20" s="186" t="s">
        <v>1241</v>
      </c>
      <c r="B20" s="121"/>
      <c r="C20" s="121"/>
      <c r="D20" s="121"/>
      <c r="E20" s="121"/>
      <c r="F20" s="121"/>
      <c r="G20" s="121"/>
    </row>
    <row r="21" spans="1:7" x14ac:dyDescent="0.55000000000000004">
      <c r="A21" s="47" t="s">
        <v>1235</v>
      </c>
      <c r="B21" s="47" t="s">
        <v>141</v>
      </c>
      <c r="C21" s="47" t="s">
        <v>156</v>
      </c>
      <c r="D21" s="47" t="s">
        <v>1242</v>
      </c>
    </row>
    <row r="22" spans="1:7" x14ac:dyDescent="0.55000000000000004">
      <c r="A22" s="48">
        <v>5</v>
      </c>
      <c r="B22" s="49" t="s">
        <v>203</v>
      </c>
      <c r="C22" s="39" t="s">
        <v>246</v>
      </c>
      <c r="D22" s="49" t="s">
        <v>205</v>
      </c>
    </row>
    <row r="23" spans="1:7" x14ac:dyDescent="0.55000000000000004">
      <c r="A23" s="48">
        <v>9</v>
      </c>
      <c r="B23" s="49" t="s">
        <v>238</v>
      </c>
      <c r="C23" s="39" t="s">
        <v>246</v>
      </c>
      <c r="D23" s="49" t="s">
        <v>240</v>
      </c>
    </row>
    <row r="24" spans="1:7" x14ac:dyDescent="0.55000000000000004">
      <c r="A24" s="6">
        <v>10</v>
      </c>
      <c r="B24" s="7" t="s">
        <v>247</v>
      </c>
      <c r="C24" s="21" t="s">
        <v>180</v>
      </c>
      <c r="D24" s="7" t="s">
        <v>249</v>
      </c>
    </row>
    <row r="25" spans="1:7" x14ac:dyDescent="0.55000000000000004">
      <c r="A25" s="48">
        <v>13</v>
      </c>
      <c r="B25" s="49" t="s">
        <v>272</v>
      </c>
      <c r="C25" s="42" t="s">
        <v>221</v>
      </c>
      <c r="D25" s="49" t="s">
        <v>275</v>
      </c>
    </row>
    <row r="26" spans="1:7" x14ac:dyDescent="0.55000000000000004">
      <c r="A26" s="6">
        <v>14</v>
      </c>
      <c r="B26" s="7" t="s">
        <v>281</v>
      </c>
      <c r="C26" s="36" t="s">
        <v>320</v>
      </c>
      <c r="D26" s="7" t="s">
        <v>283</v>
      </c>
    </row>
    <row r="27" spans="1:7" x14ac:dyDescent="0.55000000000000004">
      <c r="A27" s="6">
        <v>18</v>
      </c>
      <c r="B27" s="7" t="s">
        <v>384</v>
      </c>
      <c r="C27" s="33" t="s">
        <v>361</v>
      </c>
      <c r="D27" s="7" t="s">
        <v>386</v>
      </c>
    </row>
    <row r="28" spans="1:7" x14ac:dyDescent="0.55000000000000004">
      <c r="A28" s="6">
        <v>26</v>
      </c>
      <c r="B28" s="7" t="s">
        <v>345</v>
      </c>
      <c r="C28" s="27" t="s">
        <v>191</v>
      </c>
      <c r="D28" s="7" t="s">
        <v>348</v>
      </c>
    </row>
    <row r="29" spans="1:7" x14ac:dyDescent="0.55000000000000004">
      <c r="A29" s="48">
        <v>27</v>
      </c>
      <c r="B29" s="49" t="s">
        <v>353</v>
      </c>
      <c r="C29" s="21" t="s">
        <v>180</v>
      </c>
      <c r="D29" s="49" t="s">
        <v>356</v>
      </c>
    </row>
    <row r="30" spans="1:7" x14ac:dyDescent="0.55000000000000004">
      <c r="A30" s="48">
        <v>31</v>
      </c>
      <c r="B30" s="49" t="s">
        <v>413</v>
      </c>
      <c r="C30" s="30" t="s">
        <v>170</v>
      </c>
      <c r="D30" s="49" t="s">
        <v>416</v>
      </c>
    </row>
    <row r="31" spans="1:7" x14ac:dyDescent="0.55000000000000004">
      <c r="A31" s="6">
        <v>40</v>
      </c>
      <c r="B31" s="7" t="s">
        <v>495</v>
      </c>
      <c r="C31" s="27" t="s">
        <v>191</v>
      </c>
      <c r="D31" s="7" t="s">
        <v>497</v>
      </c>
    </row>
    <row r="32" spans="1:7" x14ac:dyDescent="0.55000000000000004">
      <c r="A32" s="48">
        <v>41</v>
      </c>
      <c r="B32" s="49" t="s">
        <v>503</v>
      </c>
      <c r="C32" s="17" t="s">
        <v>202</v>
      </c>
      <c r="D32" s="49" t="s">
        <v>506</v>
      </c>
    </row>
    <row r="33" spans="1:4" x14ac:dyDescent="0.55000000000000004">
      <c r="A33" s="48">
        <v>43</v>
      </c>
      <c r="B33" s="49" t="s">
        <v>517</v>
      </c>
      <c r="C33" s="27" t="s">
        <v>191</v>
      </c>
      <c r="D33" s="49" t="s">
        <v>520</v>
      </c>
    </row>
    <row r="34" spans="1:4" x14ac:dyDescent="0.55000000000000004">
      <c r="A34" s="6">
        <v>46</v>
      </c>
      <c r="B34" s="7" t="s">
        <v>1243</v>
      </c>
      <c r="C34" s="17" t="s">
        <v>202</v>
      </c>
      <c r="D34" s="7" t="s">
        <v>1244</v>
      </c>
    </row>
    <row r="35" spans="1:4" x14ac:dyDescent="0.55000000000000004">
      <c r="A35" s="6">
        <v>48</v>
      </c>
      <c r="B35" s="7" t="s">
        <v>539</v>
      </c>
      <c r="C35" s="30" t="s">
        <v>170</v>
      </c>
      <c r="D35" s="7" t="s">
        <v>542</v>
      </c>
    </row>
    <row r="36" spans="1:4" x14ac:dyDescent="0.55000000000000004">
      <c r="A36" s="48">
        <v>59</v>
      </c>
      <c r="B36" s="49" t="s">
        <v>621</v>
      </c>
      <c r="C36" s="21" t="s">
        <v>180</v>
      </c>
      <c r="D36" s="49" t="s">
        <v>623</v>
      </c>
    </row>
    <row r="37" spans="1:4" x14ac:dyDescent="0.55000000000000004">
      <c r="A37" s="6">
        <v>60</v>
      </c>
      <c r="B37" s="7" t="s">
        <v>654</v>
      </c>
      <c r="C37" s="17" t="s">
        <v>202</v>
      </c>
      <c r="D37" s="7" t="s">
        <v>656</v>
      </c>
    </row>
    <row r="38" spans="1:4" x14ac:dyDescent="0.55000000000000004">
      <c r="A38" s="48">
        <v>65</v>
      </c>
      <c r="B38" s="49" t="s">
        <v>676</v>
      </c>
      <c r="C38" s="33" t="s">
        <v>361</v>
      </c>
      <c r="D38" s="49" t="s">
        <v>678</v>
      </c>
    </row>
    <row r="39" spans="1:4" x14ac:dyDescent="0.55000000000000004">
      <c r="A39" s="48">
        <v>69</v>
      </c>
      <c r="B39" s="49" t="s">
        <v>696</v>
      </c>
      <c r="C39" s="33" t="s">
        <v>361</v>
      </c>
      <c r="D39" s="49" t="s">
        <v>698</v>
      </c>
    </row>
    <row r="40" spans="1:4" x14ac:dyDescent="0.55000000000000004">
      <c r="A40" s="48">
        <v>75</v>
      </c>
      <c r="B40" s="49" t="s">
        <v>755</v>
      </c>
      <c r="C40" s="21" t="s">
        <v>180</v>
      </c>
      <c r="D40" s="49" t="s">
        <v>758</v>
      </c>
    </row>
    <row r="41" spans="1:4" x14ac:dyDescent="0.55000000000000004">
      <c r="A41" s="48">
        <v>79</v>
      </c>
      <c r="B41" s="49" t="s">
        <v>747</v>
      </c>
      <c r="C41" s="30" t="s">
        <v>170</v>
      </c>
      <c r="D41" s="49" t="s">
        <v>749</v>
      </c>
    </row>
    <row r="42" spans="1:4" x14ac:dyDescent="0.55000000000000004">
      <c r="A42" s="6">
        <v>80</v>
      </c>
      <c r="B42" s="7" t="s">
        <v>764</v>
      </c>
      <c r="C42" s="39" t="s">
        <v>246</v>
      </c>
      <c r="D42" s="7" t="s">
        <v>766</v>
      </c>
    </row>
    <row r="43" spans="1:4" x14ac:dyDescent="0.55000000000000004">
      <c r="A43" s="6">
        <v>82</v>
      </c>
      <c r="B43" s="7" t="s">
        <v>749</v>
      </c>
      <c r="C43" s="21" t="s">
        <v>180</v>
      </c>
      <c r="D43" s="7" t="s">
        <v>796</v>
      </c>
    </row>
    <row r="44" spans="1:4" x14ac:dyDescent="0.55000000000000004">
      <c r="A44" s="48">
        <v>87</v>
      </c>
      <c r="B44" s="49" t="s">
        <v>1244</v>
      </c>
      <c r="C44" s="42" t="s">
        <v>221</v>
      </c>
      <c r="D44" s="49" t="s">
        <v>1243</v>
      </c>
    </row>
    <row r="45" spans="1:4" x14ac:dyDescent="0.55000000000000004">
      <c r="A45" s="6">
        <v>92</v>
      </c>
      <c r="B45" s="7" t="s">
        <v>958</v>
      </c>
      <c r="C45" s="42" t="s">
        <v>221</v>
      </c>
      <c r="D45" s="7" t="s">
        <v>960</v>
      </c>
    </row>
    <row r="46" spans="1:4" x14ac:dyDescent="0.55000000000000004">
      <c r="A46" s="6">
        <v>98</v>
      </c>
      <c r="B46" s="7" t="s">
        <v>904</v>
      </c>
      <c r="C46" s="17" t="s">
        <v>202</v>
      </c>
      <c r="D46" s="7" t="s">
        <v>906</v>
      </c>
    </row>
    <row r="47" spans="1:4" x14ac:dyDescent="0.55000000000000004">
      <c r="A47" s="6">
        <v>110</v>
      </c>
      <c r="B47" s="7" t="s">
        <v>1021</v>
      </c>
      <c r="C47" s="17" t="s">
        <v>202</v>
      </c>
      <c r="D47" s="7" t="s">
        <v>1023</v>
      </c>
    </row>
    <row r="48" spans="1:4" x14ac:dyDescent="0.55000000000000004">
      <c r="A48" s="48">
        <v>111</v>
      </c>
      <c r="B48" s="49" t="s">
        <v>1061</v>
      </c>
      <c r="C48" s="33" t="s">
        <v>361</v>
      </c>
      <c r="D48" s="49" t="s">
        <v>1063</v>
      </c>
    </row>
    <row r="49" spans="1:4" x14ac:dyDescent="0.55000000000000004">
      <c r="A49" s="6">
        <v>112</v>
      </c>
      <c r="B49" s="7" t="s">
        <v>1016</v>
      </c>
      <c r="C49" s="30" t="s">
        <v>170</v>
      </c>
      <c r="D49" s="7" t="s">
        <v>1018</v>
      </c>
    </row>
    <row r="50" spans="1:4" x14ac:dyDescent="0.55000000000000004">
      <c r="A50" s="48">
        <v>117</v>
      </c>
      <c r="B50" s="49" t="s">
        <v>1056</v>
      </c>
      <c r="C50" s="30" t="s">
        <v>170</v>
      </c>
      <c r="D50" s="49" t="s">
        <v>1058</v>
      </c>
    </row>
    <row r="51" spans="1:4" x14ac:dyDescent="0.55000000000000004">
      <c r="A51" s="6">
        <v>120</v>
      </c>
      <c r="B51" s="7" t="s">
        <v>1083</v>
      </c>
      <c r="C51" s="30" t="s">
        <v>170</v>
      </c>
      <c r="D51" s="7" t="s">
        <v>1085</v>
      </c>
    </row>
    <row r="52" spans="1:4" x14ac:dyDescent="0.55000000000000004">
      <c r="A52" s="48">
        <v>121</v>
      </c>
      <c r="B52" s="49" t="s">
        <v>1091</v>
      </c>
      <c r="C52" s="33" t="s">
        <v>361</v>
      </c>
      <c r="D52" s="49" t="s">
        <v>1093</v>
      </c>
    </row>
    <row r="53" spans="1:4" x14ac:dyDescent="0.55000000000000004">
      <c r="A53" s="48">
        <v>123</v>
      </c>
      <c r="B53" s="49" t="s">
        <v>1106</v>
      </c>
      <c r="C53" s="39" t="s">
        <v>246</v>
      </c>
      <c r="D53" s="49" t="s">
        <v>1108</v>
      </c>
    </row>
    <row r="54" spans="1:4" x14ac:dyDescent="0.55000000000000004">
      <c r="A54" s="48">
        <v>129</v>
      </c>
      <c r="B54" s="49" t="s">
        <v>1153</v>
      </c>
      <c r="C54" s="36" t="s">
        <v>320</v>
      </c>
      <c r="D54" s="49" t="s">
        <v>904</v>
      </c>
    </row>
    <row r="55" spans="1:4" x14ac:dyDescent="0.55000000000000004">
      <c r="A55" s="48">
        <v>131</v>
      </c>
      <c r="B55" s="49" t="s">
        <v>1168</v>
      </c>
      <c r="C55" s="39" t="s">
        <v>246</v>
      </c>
      <c r="D55" s="49" t="s">
        <v>1170</v>
      </c>
    </row>
    <row r="56" spans="1:4" x14ac:dyDescent="0.55000000000000004">
      <c r="A56" s="6">
        <v>132</v>
      </c>
      <c r="B56" s="7" t="s">
        <v>1174</v>
      </c>
      <c r="C56" s="24" t="s">
        <v>212</v>
      </c>
      <c r="D56" s="7" t="s">
        <v>1177</v>
      </c>
    </row>
    <row r="57" spans="1:4" x14ac:dyDescent="0.55000000000000004">
      <c r="A57" s="6">
        <v>138</v>
      </c>
      <c r="B57" s="7" t="s">
        <v>1213</v>
      </c>
      <c r="C57" s="42" t="s">
        <v>221</v>
      </c>
      <c r="D57" s="7" t="s">
        <v>275</v>
      </c>
    </row>
    <row r="58" spans="1:4" x14ac:dyDescent="0.55000000000000004">
      <c r="A58" s="48">
        <v>139</v>
      </c>
      <c r="B58" s="49" t="s">
        <v>1218</v>
      </c>
      <c r="C58" s="24" t="s">
        <v>212</v>
      </c>
      <c r="D58" s="49" t="s">
        <v>1221</v>
      </c>
    </row>
    <row r="59" spans="1:4" x14ac:dyDescent="0.55000000000000004">
      <c r="A59" s="48">
        <v>143</v>
      </c>
      <c r="B59" s="49" t="s">
        <v>940</v>
      </c>
      <c r="C59" s="24" t="s">
        <v>212</v>
      </c>
      <c r="D59" s="49" t="s">
        <v>942</v>
      </c>
    </row>
  </sheetData>
  <mergeCells count="2">
    <mergeCell ref="A20:G20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Cadastro Geral Campistas</vt:lpstr>
      <vt:lpstr>Relatorio Familia Provas</vt:lpstr>
      <vt:lpstr>Relatorio Chamada Onibus</vt:lpstr>
      <vt:lpstr>CONFLITO CONHECIDOS</vt:lpstr>
      <vt:lpstr>'Relatorio Familia Provas'!Area_de_impressao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Maynara</cp:lastModifiedBy>
  <cp:lastPrinted>2026-04-14T23:40:47Z</cp:lastPrinted>
  <dcterms:created xsi:type="dcterms:W3CDTF">2026-04-14T21:57:47Z</dcterms:created>
  <dcterms:modified xsi:type="dcterms:W3CDTF">2026-04-16T14:17:28Z</dcterms:modified>
</cp:coreProperties>
</file>